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xt2Image_FT" sheetId="1" state="visible" r:id="rId3"/>
    <sheet name="Image2Text_FT" sheetId="2" state="visible" r:id="rId4"/>
    <sheet name="Text2Image_Base" sheetId="3" state="visible" r:id="rId5"/>
    <sheet name="Image2Text_Base" sheetId="4" state="visible" r:id="rId6"/>
    <sheet name="Delta_Analysis" sheetId="5" state="visible" r:id="rId7"/>
    <sheet name="Correlation_Summary" sheetId="6" state="visible" r:id="rId8"/>
    <sheet name="Weighted_Recall_Chec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<sst xmlns="http://schemas.openxmlformats.org/spreadsheetml/2006/main" count="352" uniqueCount="209">
  <si>
    <t xml:space="preserve">Products</t>
  </si>
  <si>
    <t xml:space="preserve">Results</t>
  </si>
  <si>
    <t xml:space="preserve">recall_1</t>
  </si>
  <si>
    <t xml:space="preserve">recall_5</t>
  </si>
  <si>
    <t xml:space="preserve">recall_10</t>
  </si>
  <si>
    <t xml:space="preserve">n</t>
  </si>
  <si>
    <t xml:space="preserve">recall_1_num</t>
  </si>
  <si>
    <t xml:space="preserve">recall_5_num</t>
  </si>
  <si>
    <t xml:space="preserve">recall_10_num</t>
  </si>
  <si>
    <t xml:space="preserve">BEAUTY</t>
  </si>
  <si>
    <t xml:space="preserve"> R@1=0.266 (n=64) R@5=0.469 (n=64) R@10=0.609 (n=64) </t>
  </si>
  <si>
    <t xml:space="preserve">OFFICE_PRODUCTS</t>
  </si>
  <si>
    <t xml:space="preserve"> R@1=0.141 (n=85) R@5=0.400 (n=85) R@10=0.506 (n=85) </t>
  </si>
  <si>
    <t xml:space="preserve">BOOT</t>
  </si>
  <si>
    <t xml:space="preserve"> R@1=0.099 (n=71) R@5=0.296 (n=71) R@10=0.423 (n=71) </t>
  </si>
  <si>
    <t xml:space="preserve">SHOES</t>
  </si>
  <si>
    <t xml:space="preserve"> R@1=0.069 (n=963) R@5=0.227 (n=963) R@10=0.325 (n=963) </t>
  </si>
  <si>
    <t xml:space="preserve">GROCERY</t>
  </si>
  <si>
    <t xml:space="preserve"> R@1=0.444 (n=923) R@5=0.781 (n=923) R@10=0.863 (n=923) </t>
  </si>
  <si>
    <t xml:space="preserve">ACCESSORY</t>
  </si>
  <si>
    <t xml:space="preserve"> R@1=0.164 (n=67) R@5=0.537 (n=67) R@10=0.716 (n=67) </t>
  </si>
  <si>
    <t xml:space="preserve">RUG</t>
  </si>
  <si>
    <t xml:space="preserve"> R@1=0.053 (n=152) R@5=0.171 (n=152) R@10=0.230 (n=152) </t>
  </si>
  <si>
    <t xml:space="preserve">HOME</t>
  </si>
  <si>
    <t xml:space="preserve"> R@1=0.150 (n=306) R@5=0.402 (n=306) R@10=0.510 (n=306) </t>
  </si>
  <si>
    <t xml:space="preserve">SPORTING_GOODS</t>
  </si>
  <si>
    <t xml:space="preserve"> R@1=0.171 (n=76) R@5=0.487 (n=76) R@10=0.658 (n=76) </t>
  </si>
  <si>
    <t xml:space="preserve">KITCHEN</t>
  </si>
  <si>
    <t xml:space="preserve"> R@1=0.155 (n=84) R@5=0.512 (n=84) R@10=0.679 (n=84) </t>
  </si>
  <si>
    <t xml:space="preserve">HOME_FURNITURE_AND_DECOR</t>
  </si>
  <si>
    <t xml:space="preserve"> R@1=0.116 (n=198) R@5=0.298 (n=198) R@10=0.424 (n=198) </t>
  </si>
  <si>
    <t xml:space="preserve">FINENECKLACEBRACELETANKLET</t>
  </si>
  <si>
    <t xml:space="preserve"> R@1=0.252 (n=163) R@5=0.448 (n=163) R@10=0.564 (n=163) </t>
  </si>
  <si>
    <t xml:space="preserve">CHAIR</t>
  </si>
  <si>
    <t xml:space="preserve"> R@1=0.105 (n=277) R@5=0.296 (n=277) R@10=0.430 (n=277) </t>
  </si>
  <si>
    <t xml:space="preserve">WALL_ART</t>
  </si>
  <si>
    <t xml:space="preserve"> R@1=0.457 (n=92) R@5=0.837 (n=92) R@10=0.924 (n=92) </t>
  </si>
  <si>
    <t xml:space="preserve">LIGHT_BULB</t>
  </si>
  <si>
    <t xml:space="preserve"> R@1=0.125 (n=64) R@5=0.219 (n=64) R@10=0.344 (n=64) </t>
  </si>
  <si>
    <t xml:space="preserve">STOOL_SEATING</t>
  </si>
  <si>
    <t xml:space="preserve"> R@1=0.075 (n=67) R@5=0.209 (n=67) R@10=0.313 (n=67) </t>
  </si>
  <si>
    <t xml:space="preserve">SOFA</t>
  </si>
  <si>
    <t xml:space="preserve"> R@1=0.067 (n=165) R@5=0.212 (n=165) R@10=0.352 (n=165) </t>
  </si>
  <si>
    <t xml:space="preserve">HEALTH_PERSONAL_CARE</t>
  </si>
  <si>
    <t xml:space="preserve"> R@1=0.308 (n=185) R@5=0.665 (n=185) R@10=0.795 (n=185) </t>
  </si>
  <si>
    <t xml:space="preserve">TABLE</t>
  </si>
  <si>
    <t xml:space="preserve"> R@1=0.118 (n=136) R@5=0.331 (n=136) R@10=0.522 (n=136) </t>
  </si>
  <si>
    <t xml:space="preserve">HOME_BED_AND_BATH</t>
  </si>
  <si>
    <t xml:space="preserve"> R@1=0.153 (n=137) R@5=0.416 (n=137) R@10=0.555 (n=137) </t>
  </si>
  <si>
    <t xml:space="preserve">LAMP</t>
  </si>
  <si>
    <t xml:space="preserve"> R@1=0.103 (n=87) R@5=0.425 (n=87) R@10=0.552 (n=87) </t>
  </si>
  <si>
    <t xml:space="preserve">LIGHT_FIXTURE</t>
  </si>
  <si>
    <t xml:space="preserve"> R@1=0.180 (n=89) R@5=0.303 (n=89) R@10=0.483 (n=89) </t>
  </si>
  <si>
    <t xml:space="preserve">PET_SUPPLIES</t>
  </si>
  <si>
    <t xml:space="preserve"> R@1=0.150 (n=80) R@5=0.362 (n=80) R@10=0.487 (n=80) </t>
  </si>
  <si>
    <t xml:space="preserve">HANDBAG</t>
  </si>
  <si>
    <t xml:space="preserve"> R@1=0.164 (n=134) R@5=0.343 (n=134) R@10=0.470 (n=134) </t>
  </si>
  <si>
    <t xml:space="preserve">FINERING</t>
  </si>
  <si>
    <t xml:space="preserve"> R@1=0.112 (n=98) R@5=0.429 (n=98) R@10=0.510 (n=98) </t>
  </si>
  <si>
    <t xml:space="preserve">FINEEARRING</t>
  </si>
  <si>
    <t xml:space="preserve"> R@1=0.143 (n=126) R@5=0.405 (n=126) R@10=0.603 (n=126) </t>
  </si>
  <si>
    <t xml:space="preserve">OUTDOOR_LIVING</t>
  </si>
  <si>
    <t xml:space="preserve"> R@1=0.197 (n=71) R@5=0.507 (n=71) R@10=0.662 (n=71) </t>
  </si>
  <si>
    <t xml:space="preserve">OTTOMAN</t>
  </si>
  <si>
    <t xml:space="preserve"> R@1=0.062 (n=64) R@5=0.297 (n=64) R@10=0.422 (n=64) </t>
  </si>
  <si>
    <t xml:space="preserve">HARDWARE_HANDLE</t>
  </si>
  <si>
    <t xml:space="preserve"> R@1=0.042 (n=72) R@5=0.208 (n=72) R@10=0.375 (n=72) </t>
  </si>
  <si>
    <t xml:space="preserve">Average Score</t>
  </si>
  <si>
    <t xml:space="preserve"> R@1=0.219 (n=64) R@5=0.438 (n=64) R@10=0.609 (n=64) </t>
  </si>
  <si>
    <t xml:space="preserve"> R@1=0.165 (n=85) R@5=0.412 (n=85) R@10=0.553 (n=85) </t>
  </si>
  <si>
    <t xml:space="preserve"> R@1=0.099 (n=71) R@5=0.282 (n=71) R@10=0.366 (n=71) </t>
  </si>
  <si>
    <t xml:space="preserve"> R@1=0.073 (n=963) R@5=0.242 (n=963) R@10=0.349 (n=963) </t>
  </si>
  <si>
    <t xml:space="preserve"> R@1=0.377 (n=923) R@5=0.735 (n=923) R@10=0.844 (n=923) </t>
  </si>
  <si>
    <t xml:space="preserve"> R@1=0.239 (n=67) R@5=0.612 (n=67) R@10=0.791 (n=67) </t>
  </si>
  <si>
    <t xml:space="preserve"> R@1=0.072 (n=152) R@5=0.197 (n=152) R@10=0.263 (n=152) </t>
  </si>
  <si>
    <t xml:space="preserve"> R@1=0.121 (n=306) R@5=0.363 (n=306) R@10=0.474 (n=306) </t>
  </si>
  <si>
    <t xml:space="preserve"> R@1=0.303 (n=76) R@5=0.566 (n=76) R@10=0.711 (n=76) </t>
  </si>
  <si>
    <t xml:space="preserve"> R@1=0.202 (n=84) R@5=0.512 (n=84) R@10=0.679 (n=84) </t>
  </si>
  <si>
    <t xml:space="preserve"> R@1=0.121 (n=198) R@5=0.258 (n=198) R@10=0.348 (n=198) </t>
  </si>
  <si>
    <t xml:space="preserve"> R@1=0.184 (n=163) R@5=0.393 (n=163) R@10=0.528 (n=163) </t>
  </si>
  <si>
    <t xml:space="preserve"> R@1=0.069 (n=277) R@5=0.256 (n=277) R@10=0.339 (n=277) </t>
  </si>
  <si>
    <t xml:space="preserve"> R@1=0.402 (n=92) R@5=0.902 (n=92) R@10=0.946 (n=92) </t>
  </si>
  <si>
    <t xml:space="preserve"> R@1=0.109 (n=64) R@5=0.234 (n=64) R@10=0.328 (n=64) </t>
  </si>
  <si>
    <t xml:space="preserve"> R@1=0.119 (n=67) R@5=0.313 (n=67) R@10=0.448 (n=67) </t>
  </si>
  <si>
    <t xml:space="preserve"> R@1=0.055 (n=165) R@5=0.194 (n=165) R@10=0.327 (n=165) </t>
  </si>
  <si>
    <t xml:space="preserve"> R@1=0.303 (n=185) R@5=0.681 (n=185) R@10=0.784 (n=185) </t>
  </si>
  <si>
    <t xml:space="preserve"> R@1=0.081 (n=136) R@5=0.316 (n=136) R@10=0.412 (n=136) </t>
  </si>
  <si>
    <t xml:space="preserve"> R@1=0.139 (n=137) R@5=0.387 (n=137) R@10=0.526 (n=137) </t>
  </si>
  <si>
    <t xml:space="preserve"> R@1=0.138 (n=87) R@5=0.517 (n=87) R@10=0.575 (n=87) </t>
  </si>
  <si>
    <t xml:space="preserve"> R@1=0.112 (n=89) R@5=0.315 (n=89) R@10=0.382 (n=89) </t>
  </si>
  <si>
    <t xml:space="preserve"> R@1=0.100 (n=80) R@5=0.338 (n=80) R@10=0.487 (n=80) </t>
  </si>
  <si>
    <t xml:space="preserve"> R@1=0.112 (n=134) R@5=0.276 (n=134) R@10=0.448 (n=134) </t>
  </si>
  <si>
    <t xml:space="preserve"> R@1=0.092 (n=98) R@5=0.347 (n=98) R@10=0.398 (n=98) </t>
  </si>
  <si>
    <t xml:space="preserve"> R@1=0.143 (n=126) R@5=0.373 (n=126) R@10=0.524 (n=126) </t>
  </si>
  <si>
    <t xml:space="preserve"> R@1=0.197 (n=71) R@5=0.423 (n=71) R@10=0.592 (n=71) </t>
  </si>
  <si>
    <t xml:space="preserve"> R@1=0.094 (n=64) R@5=0.266 (n=64) R@10=0.297 (n=64) </t>
  </si>
  <si>
    <t xml:space="preserve"> R@1=0.069 (n=72) R@5=0.264 (n=72) R@10=0.403 (n=72) </t>
  </si>
  <si>
    <t xml:space="preserve">R@1=0.234 (n=64) R@5=0.375 (n=64) R@10=0.469 (n=64)</t>
  </si>
  <si>
    <t xml:space="preserve">R@1=0.129 (n=85) R@5=0.400 (n=85) R@10=0.518 (n=85)</t>
  </si>
  <si>
    <t xml:space="preserve">R@1=0.070 (n=71) R@5=0.254 (n=71) R@10=0.338 (n=71)</t>
  </si>
  <si>
    <t xml:space="preserve">R@1=0.049 (n=963) R@5=0.128 (n=963) R@10=0.188 (n=963)</t>
  </si>
  <si>
    <t xml:space="preserve">R@1=0.213 (n=923) R@5=0.457 (n=923) R@10=0.563 (n=923)</t>
  </si>
  <si>
    <t xml:space="preserve">R@1=0.224 (n=67) R@5=0.582 (n=67) R@10=0.731 (n=67)</t>
  </si>
  <si>
    <t xml:space="preserve">R@1=0.026 (n=152) R@5=0.072 (n=152) R@10=0.079 (n=152)</t>
  </si>
  <si>
    <t xml:space="preserve">R@1=0.111 (n=306) R@5=0.268 (n=306) R@10=0.373 (n=306)</t>
  </si>
  <si>
    <t xml:space="preserve">R@1=0.250 (n=76) R@5=0.474 (n=76) R@10=0.566 (n=76)</t>
  </si>
  <si>
    <t xml:space="preserve">R@1=0.155 (n=84) R@5=0.488 (n=84) R@10=0.619 (n=84)</t>
  </si>
  <si>
    <t xml:space="preserve">R@1=0.111 (n=198) R@5=0.187 (n=198) R@10=0.263 (n=198)</t>
  </si>
  <si>
    <t xml:space="preserve">R@1=0.178 (n=163) R@5=0.368 (n=163) R@10=0.485 (n=163)</t>
  </si>
  <si>
    <t xml:space="preserve">R@1=0.058 (n=277) R@5=0.184 (n=277) R@10=0.260 (n=277)</t>
  </si>
  <si>
    <t xml:space="preserve">R@1=0.293 (n=92) R@5=0.870 (n=92) R@10=0.902 (n=92)</t>
  </si>
  <si>
    <t xml:space="preserve">R@1=0.047 (n=64) R@5=0.172 (n=64) R@10=0.281 (n=64)</t>
  </si>
  <si>
    <t xml:space="preserve">R@1=0.090 (n=67) R@5=0.179 (n=67) R@10=0.239 (n=67)</t>
  </si>
  <si>
    <t xml:space="preserve">R@1=0.018 (n=165) R@5=0.097 (n=165) R@10=0.133 (n=165)</t>
  </si>
  <si>
    <t xml:space="preserve">R@1=0.265 (n=185) R@5=0.535 (n=185) R@10=0.638 (n=185)</t>
  </si>
  <si>
    <t xml:space="preserve">R@1=0.081 (n=136) R@5=0.272 (n=136) R@10=0.368 (n=136)</t>
  </si>
  <si>
    <t xml:space="preserve">R@1=0.102 (n=137) R@5=0.263 (n=137) R@10=0.372 (n=137)</t>
  </si>
  <si>
    <t xml:space="preserve">R@1=0.115 (n=87) R@5=0.287 (n=87) R@10=0.483 (n=87)</t>
  </si>
  <si>
    <t xml:space="preserve">R@1=0.101 (n=89) R@5=0.258 (n=89) R@10=0.348 (n=89)</t>
  </si>
  <si>
    <t xml:space="preserve">R@1=0.075 (n=80) R@5=0.275 (n=80) R@10=0.425 (n=80)</t>
  </si>
  <si>
    <t xml:space="preserve">R@1=0.075 (n=134) R@5=0.246 (n=134) R@10=0.373 (n=134)</t>
  </si>
  <si>
    <t xml:space="preserve">R@1=0.071 (n=98) R@5=0.276 (n=98) R@10=0.306 (n=98)</t>
  </si>
  <si>
    <t xml:space="preserve">R@1=0.111 (n=126) R@5=0.317 (n=126) R@10=0.421 (n=126)</t>
  </si>
  <si>
    <t xml:space="preserve">R@1=0.225 (n=71) R@5=0.465 (n=71) R@10=0.577 (n=71)</t>
  </si>
  <si>
    <t xml:space="preserve">R@1=0.078 (n=64) R@5=0.172 (n=64) R@10=0.219 (n=64)</t>
  </si>
  <si>
    <t xml:space="preserve">R@1=0.056 (n=72) R@5=0.153 (n=72) R@10=0.236 (n=72)</t>
  </si>
  <si>
    <t xml:space="preserve">R@1=0.141 (n=64) R@5=0.250 (n=64) R@10=0.359 (n=64)</t>
  </si>
  <si>
    <t xml:space="preserve">R@1=0.129 (n=85) R@5=0.259 (n=85) R@10=0.376 (n=85)</t>
  </si>
  <si>
    <t xml:space="preserve">R@1=0.099 (n=71) R@5=0.225 (n=71) R@10=0.268 (n=71)</t>
  </si>
  <si>
    <t xml:space="preserve">R@1=0.040 (n=963) R@5=0.129 (n=963) R@10=0.177 (n=963)</t>
  </si>
  <si>
    <t xml:space="preserve">R@1=0.308 (n=923) R@5=0.644 (n=923) R@10=0.758 (n=923)</t>
  </si>
  <si>
    <t xml:space="preserve">R@1=0.209 (n=67) R@5=0.567 (n=67) R@10=0.746 (n=67)</t>
  </si>
  <si>
    <t xml:space="preserve">R@1=0.026 (n=152) R@5=0.079 (n=152) R@10=0.151 (n=152)</t>
  </si>
  <si>
    <t xml:space="preserve">R@1=0.127 (n=306) R@5=0.304 (n=306) R@10=0.392 (n=306)</t>
  </si>
  <si>
    <t xml:space="preserve">R@1=0.158 (n=76) R@5=0.382 (n=76) R@10=0.526 (n=76)</t>
  </si>
  <si>
    <t xml:space="preserve">R@1=0.095 (n=84) R@5=0.452 (n=84) R@10=0.607 (n=84)</t>
  </si>
  <si>
    <t xml:space="preserve">R@1=0.091 (n=198) R@5=0.177 (n=198) R@10=0.253 (n=198)</t>
  </si>
  <si>
    <t xml:space="preserve">R@1=0.196 (n=163) R@5=0.368 (n=163) R@10=0.491 (n=163)</t>
  </si>
  <si>
    <t xml:space="preserve">R@1=0.061 (n=277) R@5=0.166 (n=277) R@10=0.238 (n=277)</t>
  </si>
  <si>
    <t xml:space="preserve">R@1=0.337 (n=92) R@5=0.728 (n=92) R@10=0.837 (n=92)</t>
  </si>
  <si>
    <t xml:space="preserve">R@1=0.031 (n=64) R@5=0.062 (n=64) R@10=0.109 (n=64)</t>
  </si>
  <si>
    <t xml:space="preserve">R@1=0.045 (n=67) R@5=0.134 (n=67) R@10=0.299 (n=67)</t>
  </si>
  <si>
    <t xml:space="preserve">R@1=0.036 (n=165) R@5=0.109 (n=165) R@10=0.170 (n=165)</t>
  </si>
  <si>
    <t xml:space="preserve">R@1=0.205 (n=185) R@5=0.514 (n=185) R@10=0.649 (n=185)</t>
  </si>
  <si>
    <t xml:space="preserve">R@1=0.088 (n=136) R@5=0.221 (n=136) R@10=0.331 (n=136)</t>
  </si>
  <si>
    <t xml:space="preserve">R@1=0.080 (n=137) R@5=0.204 (n=137) R@10=0.321 (n=137)</t>
  </si>
  <si>
    <t xml:space="preserve">R@1=0.092 (n=87) R@5=0.299 (n=87) R@10=0.402 (n=87)</t>
  </si>
  <si>
    <t xml:space="preserve">R@1=0.079 (n=89) R@5=0.191 (n=89) R@10=0.258 (n=89)</t>
  </si>
  <si>
    <t xml:space="preserve">R@1=0.075 (n=80) R@5=0.263 (n=80) R@10=0.338 (n=80)</t>
  </si>
  <si>
    <t xml:space="preserve">R@1=0.097 (n=134) R@5=0.254 (n=134) R@10=0.343 (n=134)</t>
  </si>
  <si>
    <t xml:space="preserve">R@1=0.082 (n=98) R@5=0.245 (n=98) R@10=0.367 (n=98)</t>
  </si>
  <si>
    <t xml:space="preserve">R@1=0.103 (n=126) R@5=0.397 (n=126) R@10=0.492 (n=126)</t>
  </si>
  <si>
    <t xml:space="preserve">R@1=0.127 (n=71) R@5=0.394 (n=71) R@10=0.465 (n=71)</t>
  </si>
  <si>
    <t xml:space="preserve">R@1=0.047 (n=64) R@5=0.125 (n=64) R@10=0.172 (n=64)</t>
  </si>
  <si>
    <t xml:space="preserve">R@1=0.028 (n=72) R@5=0.056 (n=72) R@10=0.083 (n=72)</t>
  </si>
  <si>
    <t xml:space="preserve">Product</t>
  </si>
  <si>
    <t xml:space="preserve">T2I_Base_R1</t>
  </si>
  <si>
    <t xml:space="preserve">T2I_FT_R1</t>
  </si>
  <si>
    <t xml:space="preserve">T2I_Delta_R1</t>
  </si>
  <si>
    <t xml:space="preserve">T2I_PctChg_R1</t>
  </si>
  <si>
    <t xml:space="preserve">T2I_Base_R5</t>
  </si>
  <si>
    <t xml:space="preserve">T2I_FT_R5</t>
  </si>
  <si>
    <t xml:space="preserve">T2I_Delta_R5</t>
  </si>
  <si>
    <t xml:space="preserve">T2I_PctChg_R5</t>
  </si>
  <si>
    <t xml:space="preserve">T2I_Base_R10</t>
  </si>
  <si>
    <t xml:space="preserve">T2I_FT_R10</t>
  </si>
  <si>
    <t xml:space="preserve">T2I_Delta_R10</t>
  </si>
  <si>
    <t xml:space="preserve">T2I_PctChg_R10</t>
  </si>
  <si>
    <t xml:space="preserve">I2T_Base_R1</t>
  </si>
  <si>
    <t xml:space="preserve">I2T_FT_R1</t>
  </si>
  <si>
    <t xml:space="preserve">I2T_Delta_R1</t>
  </si>
  <si>
    <t xml:space="preserve">I2T_PctChg_R1</t>
  </si>
  <si>
    <t xml:space="preserve">I2T_Base_R5</t>
  </si>
  <si>
    <t xml:space="preserve">I2T_FT_R5</t>
  </si>
  <si>
    <t xml:space="preserve">I2T_Delta_R5</t>
  </si>
  <si>
    <t xml:space="preserve">I2T_PctChg_R5</t>
  </si>
  <si>
    <t xml:space="preserve">I2T_Base_R10</t>
  </si>
  <si>
    <t xml:space="preserve">I2T_FT_R10</t>
  </si>
  <si>
    <t xml:space="preserve">I2T_Delta_R10</t>
  </si>
  <si>
    <t xml:space="preserve">I2T_PctChg_R10</t>
  </si>
  <si>
    <t xml:space="preserve">Flag_T2I_R10</t>
  </si>
  <si>
    <t xml:space="preserve">Flag_I2T_R10</t>
  </si>
  <si>
    <t xml:space="preserve">Low_N_Flag</t>
  </si>
  <si>
    <t xml:space="preserve">Correlation</t>
  </si>
  <si>
    <t xml:space="preserve">Value</t>
  </si>
  <si>
    <t xml:space="preserve">Interpretation guide</t>
  </si>
  <si>
    <t xml:space="preserve">Baseline score vs. Improvement (T2I, R@10)</t>
  </si>
  <si>
    <t xml:space="preserve">Negative = categories that started weak improved the most</t>
  </si>
  <si>
    <t xml:space="preserve">Baseline score vs. Improvement (I2T, R@10)</t>
  </si>
  <si>
    <t xml:space="preserve">Direction consistency - Baseline (T2I vs I2T, R@10)</t>
  </si>
  <si>
    <t xml:space="preserve">High positive = a category hard in one direction is hard in the other</t>
  </si>
  <si>
    <t xml:space="preserve">Direction consistency - Fine-tuned (T2I vs I2T, R@10)</t>
  </si>
  <si>
    <t xml:space="preserve">High positive = pattern still holds after fine-tuning</t>
  </si>
  <si>
    <t xml:space="preserve">Direction consistency - Improvement deltas (T2I vs I2T, R@10)</t>
  </si>
  <si>
    <t xml:space="preserve">High positive = fine-tuning helped/hurt categories similarly in both directions</t>
  </si>
  <si>
    <t xml:space="preserve">Config</t>
  </si>
  <si>
    <t xml:space="preserve">Metric</t>
  </si>
  <si>
    <t xml:space="preserve">Simple_Avg_of_Categories</t>
  </si>
  <si>
    <t xml:space="preserve">Weighted_Avg_by_n</t>
  </si>
  <si>
    <t xml:space="preserve">Reported_Overall</t>
  </si>
  <si>
    <t xml:space="preserve">Diff_Weighted_vs_Reported</t>
  </si>
  <si>
    <t xml:space="preserve">T2I_Base</t>
  </si>
  <si>
    <t xml:space="preserve">R1</t>
  </si>
  <si>
    <t xml:space="preserve">R5</t>
  </si>
  <si>
    <t xml:space="preserve">R10</t>
  </si>
  <si>
    <t xml:space="preserve">T2I_FT</t>
  </si>
  <si>
    <t xml:space="preserve">I2T_Base</t>
  </si>
  <si>
    <t xml:space="preserve">I2T_FT</t>
  </si>
  <si>
    <t xml:space="preserve">Note: n sums to 5096 across all 29 categories, matching the full test set size, so Weighted_Avg_by_n is mathematically the same calculation as the true pooled (micro-averaged) overall recall reported in each source sheet's "Average Score" block. The small residual differences seen here (typically under 2 percentage points) come from the per-category recall values being stored to only 3 decimal places in the source text (e.g. "R@1=0.266"), which compounds slightly across 29 categories — not a methodology discrepancy. Simple_Avg (unweighted across categories) is shown alongside to make the effect of weighting by category size visible; it differs more from Reported_Overall precisely because larger categories (e.g. GROCERY, SHOES) pull the true pooled figure toward their own recall.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</si>
</sst>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.000"/>
    <numFmt numFmtId="168" formatCode="0.00%"/>
  </numFmts>
  <fonts count="9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4"/>
      <color theme="1"/>
      <name val="Courier New"/>
      <family val="1"/>
      <charset val="1"/>
    </font>
    <font>
      <sz val="16"/>
      <color theme="1"/>
      <name val="Arial"/>
      <family val="2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2" activeCellId="0" sqref="B32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28.67"/>
    <col collapsed="false" customWidth="true" hidden="false" outlineLevel="0" max="2" min="2" style="1" width="52.83"/>
    <col collapsed="false" customWidth="true" hidden="false" outlineLevel="0" max="9" min="6" style="1" width="14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.75" hidden="false" customHeight="true" outlineLevel="0" collapsed="false">
      <c r="A2" s="1" t="s">
        <v>9</v>
      </c>
      <c r="B2" s="1" t="s">
        <v>10</v>
      </c>
      <c r="C2" s="1" t="str">
        <f aca="false">MID(B2,FIND("R@1",B2)+4,5)</f>
        <v>0.266</v>
      </c>
      <c r="D2" s="1" t="str">
        <f aca="false">MID(B2,FIND("R@5",B2)+4,5)</f>
        <v>0.469</v>
      </c>
      <c r="E2" s="1" t="str">
        <f aca="false">MID(B2,FIND("R@10",B2)+5,5)</f>
        <v>0.609</v>
      </c>
      <c r="F2" s="3" t="n">
        <f aca="false">VALUE(MID(B2,FIND("(n=",B2)+3,FIND(")",B2,FIND("(n=",B2))-FIND("(n=",B2)-3))</f>
        <v>64</v>
      </c>
      <c r="G2" s="3" t="n">
        <f aca="false">VALUE(C2)</f>
        <v>0.266</v>
      </c>
      <c r="H2" s="3" t="n">
        <f aca="false">VALUE(D2)</f>
        <v>0.469</v>
      </c>
      <c r="I2" s="3" t="n">
        <f aca="false">VALUE(E2)</f>
        <v>0.609</v>
      </c>
    </row>
    <row r="3" customFormat="false" ht="15.75" hidden="false" customHeight="true" outlineLevel="0" collapsed="false">
      <c r="A3" s="1" t="s">
        <v>11</v>
      </c>
      <c r="B3" s="1" t="s">
        <v>12</v>
      </c>
      <c r="C3" s="1" t="str">
        <f aca="false">MID(B3,FIND("R@1",B3)+4,5)</f>
        <v>0.141</v>
      </c>
      <c r="D3" s="1" t="str">
        <f aca="false">MID(B3,FIND("R@5",B3)+4,5)</f>
        <v>0.400</v>
      </c>
      <c r="E3" s="1" t="str">
        <f aca="false">MID(B3,FIND("R@10",B3)+5,5)</f>
        <v>0.506</v>
      </c>
      <c r="F3" s="3" t="n">
        <f aca="false">VALUE(MID(B3,FIND("(n=",B3)+3,FIND(")",B3,FIND("(n=",B3))-FIND("(n=",B3)-3))</f>
        <v>85</v>
      </c>
      <c r="G3" s="3" t="n">
        <f aca="false">VALUE(C3)</f>
        <v>0.141</v>
      </c>
      <c r="H3" s="3" t="n">
        <f aca="false">VALUE(D3)</f>
        <v>0.4</v>
      </c>
      <c r="I3" s="3" t="n">
        <f aca="false">VALUE(E3)</f>
        <v>0.506</v>
      </c>
    </row>
    <row r="4" customFormat="false" ht="15.75" hidden="false" customHeight="true" outlineLevel="0" collapsed="false">
      <c r="A4" s="1" t="s">
        <v>13</v>
      </c>
      <c r="B4" s="1" t="s">
        <v>14</v>
      </c>
      <c r="C4" s="1" t="str">
        <f aca="false">MID(B4,FIND("R@1",B4)+4,5)</f>
        <v>0.099</v>
      </c>
      <c r="D4" s="1" t="str">
        <f aca="false">MID(B4,FIND("R@5",B4)+4,5)</f>
        <v>0.296</v>
      </c>
      <c r="E4" s="1" t="str">
        <f aca="false">MID(B4,FIND("R@10",B4)+5,5)</f>
        <v>0.423</v>
      </c>
      <c r="F4" s="3" t="n">
        <f aca="false">VALUE(MID(B4,FIND("(n=",B4)+3,FIND(")",B4,FIND("(n=",B4))-FIND("(n=",B4)-3))</f>
        <v>71</v>
      </c>
      <c r="G4" s="3" t="n">
        <f aca="false">VALUE(C4)</f>
        <v>0.099</v>
      </c>
      <c r="H4" s="3" t="n">
        <f aca="false">VALUE(D4)</f>
        <v>0.296</v>
      </c>
      <c r="I4" s="3" t="n">
        <f aca="false">VALUE(E4)</f>
        <v>0.423</v>
      </c>
    </row>
    <row r="5" customFormat="false" ht="15.75" hidden="false" customHeight="true" outlineLevel="0" collapsed="false">
      <c r="A5" s="1" t="s">
        <v>15</v>
      </c>
      <c r="B5" s="1" t="s">
        <v>16</v>
      </c>
      <c r="C5" s="1" t="str">
        <f aca="false">MID(B5,FIND("R@1",B5)+4,5)</f>
        <v>0.069</v>
      </c>
      <c r="D5" s="1" t="str">
        <f aca="false">MID(B5,FIND("R@5",B5)+4,5)</f>
        <v>0.227</v>
      </c>
      <c r="E5" s="1" t="str">
        <f aca="false">MID(B5,FIND("R@10",B5)+5,5)</f>
        <v>0.325</v>
      </c>
      <c r="F5" s="3" t="n">
        <f aca="false">VALUE(MID(B5,FIND("(n=",B5)+3,FIND(")",B5,FIND("(n=",B5))-FIND("(n=",B5)-3))</f>
        <v>963</v>
      </c>
      <c r="G5" s="3" t="n">
        <f aca="false">VALUE(C5)</f>
        <v>0.069</v>
      </c>
      <c r="H5" s="3" t="n">
        <f aca="false">VALUE(D5)</f>
        <v>0.227</v>
      </c>
      <c r="I5" s="3" t="n">
        <f aca="false">VALUE(E5)</f>
        <v>0.325</v>
      </c>
    </row>
    <row r="6" customFormat="false" ht="15.75" hidden="false" customHeight="true" outlineLevel="0" collapsed="false">
      <c r="A6" s="1" t="s">
        <v>17</v>
      </c>
      <c r="B6" s="1" t="s">
        <v>18</v>
      </c>
      <c r="C6" s="1" t="str">
        <f aca="false">MID(B6,FIND("R@1",B6)+4,5)</f>
        <v>0.444</v>
      </c>
      <c r="D6" s="1" t="str">
        <f aca="false">MID(B6,FIND("R@5",B6)+4,5)</f>
        <v>0.781</v>
      </c>
      <c r="E6" s="1" t="str">
        <f aca="false">MID(B6,FIND("R@10",B6)+5,5)</f>
        <v>0.863</v>
      </c>
      <c r="F6" s="3" t="n">
        <f aca="false">VALUE(MID(B6,FIND("(n=",B6)+3,FIND(")",B6,FIND("(n=",B6))-FIND("(n=",B6)-3))</f>
        <v>923</v>
      </c>
      <c r="G6" s="3" t="n">
        <f aca="false">VALUE(C6)</f>
        <v>0.444</v>
      </c>
      <c r="H6" s="3" t="n">
        <f aca="false">VALUE(D6)</f>
        <v>0.781</v>
      </c>
      <c r="I6" s="3" t="n">
        <f aca="false">VALUE(E6)</f>
        <v>0.863</v>
      </c>
    </row>
    <row r="7" customFormat="false" ht="15.75" hidden="false" customHeight="true" outlineLevel="0" collapsed="false">
      <c r="A7" s="1" t="s">
        <v>19</v>
      </c>
      <c r="B7" s="1" t="s">
        <v>20</v>
      </c>
      <c r="C7" s="1" t="str">
        <f aca="false">MID(B7,FIND("R@1",B7)+4,5)</f>
        <v>0.164</v>
      </c>
      <c r="D7" s="1" t="str">
        <f aca="false">MID(B7,FIND("R@5",B7)+4,5)</f>
        <v>0.537</v>
      </c>
      <c r="E7" s="1" t="str">
        <f aca="false">MID(B7,FIND("R@10",B7)+5,5)</f>
        <v>0.716</v>
      </c>
      <c r="F7" s="3" t="n">
        <f aca="false">VALUE(MID(B7,FIND("(n=",B7)+3,FIND(")",B7,FIND("(n=",B7))-FIND("(n=",B7)-3))</f>
        <v>67</v>
      </c>
      <c r="G7" s="3" t="n">
        <f aca="false">VALUE(C7)</f>
        <v>0.164</v>
      </c>
      <c r="H7" s="3" t="n">
        <f aca="false">VALUE(D7)</f>
        <v>0.537</v>
      </c>
      <c r="I7" s="3" t="n">
        <f aca="false">VALUE(E7)</f>
        <v>0.716</v>
      </c>
    </row>
    <row r="8" customFormat="false" ht="15.75" hidden="false" customHeight="true" outlineLevel="0" collapsed="false">
      <c r="A8" s="1" t="s">
        <v>21</v>
      </c>
      <c r="B8" s="1" t="s">
        <v>22</v>
      </c>
      <c r="C8" s="1" t="str">
        <f aca="false">MID(B8,FIND("R@1",B8)+4,5)</f>
        <v>0.053</v>
      </c>
      <c r="D8" s="1" t="str">
        <f aca="false">MID(B8,FIND("R@5",B8)+4,5)</f>
        <v>0.171</v>
      </c>
      <c r="E8" s="1" t="str">
        <f aca="false">MID(B8,FIND("R@10",B8)+5,5)</f>
        <v>0.230</v>
      </c>
      <c r="F8" s="3" t="n">
        <f aca="false">VALUE(MID(B8,FIND("(n=",B8)+3,FIND(")",B8,FIND("(n=",B8))-FIND("(n=",B8)-3))</f>
        <v>152</v>
      </c>
      <c r="G8" s="3" t="n">
        <f aca="false">VALUE(C8)</f>
        <v>0.053</v>
      </c>
      <c r="H8" s="3" t="n">
        <f aca="false">VALUE(D8)</f>
        <v>0.171</v>
      </c>
      <c r="I8" s="3" t="n">
        <f aca="false">VALUE(E8)</f>
        <v>0.23</v>
      </c>
    </row>
    <row r="9" customFormat="false" ht="15.75" hidden="false" customHeight="true" outlineLevel="0" collapsed="false">
      <c r="A9" s="1" t="s">
        <v>23</v>
      </c>
      <c r="B9" s="1" t="s">
        <v>24</v>
      </c>
      <c r="C9" s="1" t="str">
        <f aca="false">MID(B9,FIND("R@1",B9)+4,5)</f>
        <v>0.150</v>
      </c>
      <c r="D9" s="1" t="str">
        <f aca="false">MID(B9,FIND("R@5",B9)+4,5)</f>
        <v>0.402</v>
      </c>
      <c r="E9" s="1" t="str">
        <f aca="false">MID(B9,FIND("R@10",B9)+5,5)</f>
        <v>0.510</v>
      </c>
      <c r="F9" s="3" t="n">
        <f aca="false">VALUE(MID(B9,FIND("(n=",B9)+3,FIND(")",B9,FIND("(n=",B9))-FIND("(n=",B9)-3))</f>
        <v>306</v>
      </c>
      <c r="G9" s="3" t="n">
        <f aca="false">VALUE(C9)</f>
        <v>0.15</v>
      </c>
      <c r="H9" s="3" t="n">
        <f aca="false">VALUE(D9)</f>
        <v>0.402</v>
      </c>
      <c r="I9" s="3" t="n">
        <f aca="false">VALUE(E9)</f>
        <v>0.51</v>
      </c>
    </row>
    <row r="10" customFormat="false" ht="15.75" hidden="false" customHeight="true" outlineLevel="0" collapsed="false">
      <c r="A10" s="1" t="s">
        <v>25</v>
      </c>
      <c r="B10" s="1" t="s">
        <v>26</v>
      </c>
      <c r="C10" s="1" t="str">
        <f aca="false">MID(B10,FIND("R@1",B10)+4,5)</f>
        <v>0.171</v>
      </c>
      <c r="D10" s="1" t="str">
        <f aca="false">MID(B10,FIND("R@5",B10)+4,5)</f>
        <v>0.487</v>
      </c>
      <c r="E10" s="1" t="str">
        <f aca="false">MID(B10,FIND("R@10",B10)+5,5)</f>
        <v>0.658</v>
      </c>
      <c r="F10" s="3" t="n">
        <f aca="false">VALUE(MID(B10,FIND("(n=",B10)+3,FIND(")",B10,FIND("(n=",B10))-FIND("(n=",B10)-3))</f>
        <v>76</v>
      </c>
      <c r="G10" s="3" t="n">
        <f aca="false">VALUE(C10)</f>
        <v>0.171</v>
      </c>
      <c r="H10" s="3" t="n">
        <f aca="false">VALUE(D10)</f>
        <v>0.487</v>
      </c>
      <c r="I10" s="3" t="n">
        <f aca="false">VALUE(E10)</f>
        <v>0.658</v>
      </c>
    </row>
    <row r="11" customFormat="false" ht="15.75" hidden="false" customHeight="true" outlineLevel="0" collapsed="false">
      <c r="A11" s="1" t="s">
        <v>27</v>
      </c>
      <c r="B11" s="1" t="s">
        <v>28</v>
      </c>
      <c r="C11" s="1" t="str">
        <f aca="false">MID(B11,FIND("R@1",B11)+4,5)</f>
        <v>0.155</v>
      </c>
      <c r="D11" s="1" t="str">
        <f aca="false">MID(B11,FIND("R@5",B11)+4,5)</f>
        <v>0.512</v>
      </c>
      <c r="E11" s="1" t="str">
        <f aca="false">MID(B11,FIND("R@10",B11)+5,5)</f>
        <v>0.679</v>
      </c>
      <c r="F11" s="3" t="n">
        <f aca="false">VALUE(MID(B11,FIND("(n=",B11)+3,FIND(")",B11,FIND("(n=",B11))-FIND("(n=",B11)-3))</f>
        <v>84</v>
      </c>
      <c r="G11" s="3" t="n">
        <f aca="false">VALUE(C11)</f>
        <v>0.155</v>
      </c>
      <c r="H11" s="3" t="n">
        <f aca="false">VALUE(D11)</f>
        <v>0.512</v>
      </c>
      <c r="I11" s="3" t="n">
        <f aca="false">VALUE(E11)</f>
        <v>0.679</v>
      </c>
    </row>
    <row r="12" customFormat="false" ht="15.75" hidden="false" customHeight="true" outlineLevel="0" collapsed="false">
      <c r="A12" s="1" t="s">
        <v>29</v>
      </c>
      <c r="B12" s="1" t="s">
        <v>30</v>
      </c>
      <c r="C12" s="1" t="str">
        <f aca="false">MID(B12,FIND("R@1",B12)+4,5)</f>
        <v>0.116</v>
      </c>
      <c r="D12" s="1" t="str">
        <f aca="false">MID(B12,FIND("R@5",B12)+4,5)</f>
        <v>0.298</v>
      </c>
      <c r="E12" s="1" t="str">
        <f aca="false">MID(B12,FIND("R@10",B12)+5,5)</f>
        <v>0.424</v>
      </c>
      <c r="F12" s="3" t="n">
        <f aca="false">VALUE(MID(B12,FIND("(n=",B12)+3,FIND(")",B12,FIND("(n=",B12))-FIND("(n=",B12)-3))</f>
        <v>198</v>
      </c>
      <c r="G12" s="3" t="n">
        <f aca="false">VALUE(C12)</f>
        <v>0.116</v>
      </c>
      <c r="H12" s="3" t="n">
        <f aca="false">VALUE(D12)</f>
        <v>0.298</v>
      </c>
      <c r="I12" s="3" t="n">
        <f aca="false">VALUE(E12)</f>
        <v>0.424</v>
      </c>
    </row>
    <row r="13" customFormat="false" ht="15.75" hidden="false" customHeight="true" outlineLevel="0" collapsed="false">
      <c r="A13" s="1" t="s">
        <v>31</v>
      </c>
      <c r="B13" s="1" t="s">
        <v>32</v>
      </c>
      <c r="C13" s="1" t="str">
        <f aca="false">MID(B13,FIND("R@1",B13)+4,5)</f>
        <v>0.252</v>
      </c>
      <c r="D13" s="1" t="str">
        <f aca="false">MID(B13,FIND("R@5",B13)+4,5)</f>
        <v>0.448</v>
      </c>
      <c r="E13" s="1" t="str">
        <f aca="false">MID(B13,FIND("R@10",B13)+5,5)</f>
        <v>0.564</v>
      </c>
      <c r="F13" s="3" t="n">
        <f aca="false">VALUE(MID(B13,FIND("(n=",B13)+3,FIND(")",B13,FIND("(n=",B13))-FIND("(n=",B13)-3))</f>
        <v>163</v>
      </c>
      <c r="G13" s="3" t="n">
        <f aca="false">VALUE(C13)</f>
        <v>0.252</v>
      </c>
      <c r="H13" s="3" t="n">
        <f aca="false">VALUE(D13)</f>
        <v>0.448</v>
      </c>
      <c r="I13" s="3" t="n">
        <f aca="false">VALUE(E13)</f>
        <v>0.564</v>
      </c>
    </row>
    <row r="14" customFormat="false" ht="15.75" hidden="false" customHeight="true" outlineLevel="0" collapsed="false">
      <c r="A14" s="1" t="s">
        <v>33</v>
      </c>
      <c r="B14" s="1" t="s">
        <v>34</v>
      </c>
      <c r="C14" s="1" t="str">
        <f aca="false">MID(B14,FIND("R@1",B14)+4,5)</f>
        <v>0.105</v>
      </c>
      <c r="D14" s="1" t="str">
        <f aca="false">MID(B14,FIND("R@5",B14)+4,5)</f>
        <v>0.296</v>
      </c>
      <c r="E14" s="1" t="str">
        <f aca="false">MID(B14,FIND("R@10",B14)+5,5)</f>
        <v>0.430</v>
      </c>
      <c r="F14" s="3" t="n">
        <f aca="false">VALUE(MID(B14,FIND("(n=",B14)+3,FIND(")",B14,FIND("(n=",B14))-FIND("(n=",B14)-3))</f>
        <v>277</v>
      </c>
      <c r="G14" s="3" t="n">
        <f aca="false">VALUE(C14)</f>
        <v>0.105</v>
      </c>
      <c r="H14" s="3" t="n">
        <f aca="false">VALUE(D14)</f>
        <v>0.296</v>
      </c>
      <c r="I14" s="3" t="n">
        <f aca="false">VALUE(E14)</f>
        <v>0.43</v>
      </c>
    </row>
    <row r="15" customFormat="false" ht="15.75" hidden="false" customHeight="true" outlineLevel="0" collapsed="false">
      <c r="A15" s="1" t="s">
        <v>35</v>
      </c>
      <c r="B15" s="1" t="s">
        <v>36</v>
      </c>
      <c r="C15" s="1" t="str">
        <f aca="false">MID(B15,FIND("R@1",B15)+4,5)</f>
        <v>0.457</v>
      </c>
      <c r="D15" s="1" t="str">
        <f aca="false">MID(B15,FIND("R@5",B15)+4,5)</f>
        <v>0.837</v>
      </c>
      <c r="E15" s="1" t="str">
        <f aca="false">MID(B15,FIND("R@10",B15)+5,5)</f>
        <v>0.924</v>
      </c>
      <c r="F15" s="3" t="n">
        <f aca="false">VALUE(MID(B15,FIND("(n=",B15)+3,FIND(")",B15,FIND("(n=",B15))-FIND("(n=",B15)-3))</f>
        <v>92</v>
      </c>
      <c r="G15" s="3" t="n">
        <f aca="false">VALUE(C15)</f>
        <v>0.457</v>
      </c>
      <c r="H15" s="3" t="n">
        <f aca="false">VALUE(D15)</f>
        <v>0.837</v>
      </c>
      <c r="I15" s="3" t="n">
        <f aca="false">VALUE(E15)</f>
        <v>0.924</v>
      </c>
    </row>
    <row r="16" customFormat="false" ht="15.75" hidden="false" customHeight="true" outlineLevel="0" collapsed="false">
      <c r="A16" s="1" t="s">
        <v>37</v>
      </c>
      <c r="B16" s="1" t="s">
        <v>38</v>
      </c>
      <c r="C16" s="1" t="str">
        <f aca="false">MID(B16,FIND("R@1",B16)+4,5)</f>
        <v>0.125</v>
      </c>
      <c r="D16" s="1" t="str">
        <f aca="false">MID(B16,FIND("R@5",B16)+4,5)</f>
        <v>0.219</v>
      </c>
      <c r="E16" s="1" t="str">
        <f aca="false">MID(B16,FIND("R@10",B16)+5,5)</f>
        <v>0.344</v>
      </c>
      <c r="F16" s="3" t="n">
        <f aca="false">VALUE(MID(B16,FIND("(n=",B16)+3,FIND(")",B16,FIND("(n=",B16))-FIND("(n=",B16)-3))</f>
        <v>64</v>
      </c>
      <c r="G16" s="3" t="n">
        <f aca="false">VALUE(C16)</f>
        <v>0.125</v>
      </c>
      <c r="H16" s="3" t="n">
        <f aca="false">VALUE(D16)</f>
        <v>0.219</v>
      </c>
      <c r="I16" s="3" t="n">
        <f aca="false">VALUE(E16)</f>
        <v>0.344</v>
      </c>
    </row>
    <row r="17" customFormat="false" ht="15.75" hidden="false" customHeight="true" outlineLevel="0" collapsed="false">
      <c r="A17" s="1" t="s">
        <v>39</v>
      </c>
      <c r="B17" s="1" t="s">
        <v>40</v>
      </c>
      <c r="C17" s="1" t="str">
        <f aca="false">MID(B17,FIND("R@1",B17)+4,5)</f>
        <v>0.075</v>
      </c>
      <c r="D17" s="1" t="str">
        <f aca="false">MID(B17,FIND("R@5",B17)+4,5)</f>
        <v>0.209</v>
      </c>
      <c r="E17" s="1" t="str">
        <f aca="false">MID(B17,FIND("R@10",B17)+5,5)</f>
        <v>0.313</v>
      </c>
      <c r="F17" s="3" t="n">
        <f aca="false">VALUE(MID(B17,FIND("(n=",B17)+3,FIND(")",B17,FIND("(n=",B17))-FIND("(n=",B17)-3))</f>
        <v>67</v>
      </c>
      <c r="G17" s="3" t="n">
        <f aca="false">VALUE(C17)</f>
        <v>0.075</v>
      </c>
      <c r="H17" s="3" t="n">
        <f aca="false">VALUE(D17)</f>
        <v>0.209</v>
      </c>
      <c r="I17" s="3" t="n">
        <f aca="false">VALUE(E17)</f>
        <v>0.313</v>
      </c>
    </row>
    <row r="18" customFormat="false" ht="15.75" hidden="false" customHeight="true" outlineLevel="0" collapsed="false">
      <c r="A18" s="1" t="s">
        <v>41</v>
      </c>
      <c r="B18" s="1" t="s">
        <v>42</v>
      </c>
      <c r="C18" s="1" t="str">
        <f aca="false">MID(B18,FIND("R@1",B18)+4,5)</f>
        <v>0.067</v>
      </c>
      <c r="D18" s="1" t="str">
        <f aca="false">MID(B18,FIND("R@5",B18)+4,5)</f>
        <v>0.212</v>
      </c>
      <c r="E18" s="1" t="str">
        <f aca="false">MID(B18,FIND("R@10",B18)+5,5)</f>
        <v>0.352</v>
      </c>
      <c r="F18" s="3" t="n">
        <f aca="false">VALUE(MID(B18,FIND("(n=",B18)+3,FIND(")",B18,FIND("(n=",B18))-FIND("(n=",B18)-3))</f>
        <v>165</v>
      </c>
      <c r="G18" s="3" t="n">
        <f aca="false">VALUE(C18)</f>
        <v>0.067</v>
      </c>
      <c r="H18" s="3" t="n">
        <f aca="false">VALUE(D18)</f>
        <v>0.212</v>
      </c>
      <c r="I18" s="3" t="n">
        <f aca="false">VALUE(E18)</f>
        <v>0.352</v>
      </c>
    </row>
    <row r="19" customFormat="false" ht="15.75" hidden="false" customHeight="true" outlineLevel="0" collapsed="false">
      <c r="A19" s="1" t="s">
        <v>43</v>
      </c>
      <c r="B19" s="1" t="s">
        <v>44</v>
      </c>
      <c r="C19" s="1" t="str">
        <f aca="false">MID(B19,FIND("R@1",B19)+4,5)</f>
        <v>0.308</v>
      </c>
      <c r="D19" s="1" t="str">
        <f aca="false">MID(B19,FIND("R@5",B19)+4,5)</f>
        <v>0.665</v>
      </c>
      <c r="E19" s="1" t="str">
        <f aca="false">MID(B19,FIND("R@10",B19)+5,5)</f>
        <v>0.795</v>
      </c>
      <c r="F19" s="3" t="n">
        <f aca="false">VALUE(MID(B19,FIND("(n=",B19)+3,FIND(")",B19,FIND("(n=",B19))-FIND("(n=",B19)-3))</f>
        <v>185</v>
      </c>
      <c r="G19" s="3" t="n">
        <f aca="false">VALUE(C19)</f>
        <v>0.308</v>
      </c>
      <c r="H19" s="3" t="n">
        <f aca="false">VALUE(D19)</f>
        <v>0.665</v>
      </c>
      <c r="I19" s="3" t="n">
        <f aca="false">VALUE(E19)</f>
        <v>0.795</v>
      </c>
    </row>
    <row r="20" customFormat="false" ht="15.75" hidden="false" customHeight="true" outlineLevel="0" collapsed="false">
      <c r="A20" s="1" t="s">
        <v>45</v>
      </c>
      <c r="B20" s="1" t="s">
        <v>46</v>
      </c>
      <c r="C20" s="1" t="str">
        <f aca="false">MID(B20,FIND("R@1",B20)+4,5)</f>
        <v>0.118</v>
      </c>
      <c r="D20" s="1" t="str">
        <f aca="false">MID(B20,FIND("R@5",B20)+4,5)</f>
        <v>0.331</v>
      </c>
      <c r="E20" s="1" t="str">
        <f aca="false">MID(B20,FIND("R@10",B20)+5,5)</f>
        <v>0.522</v>
      </c>
      <c r="F20" s="3" t="n">
        <f aca="false">VALUE(MID(B20,FIND("(n=",B20)+3,FIND(")",B20,FIND("(n=",B20))-FIND("(n=",B20)-3))</f>
        <v>136</v>
      </c>
      <c r="G20" s="3" t="n">
        <f aca="false">VALUE(C20)</f>
        <v>0.118</v>
      </c>
      <c r="H20" s="3" t="n">
        <f aca="false">VALUE(D20)</f>
        <v>0.331</v>
      </c>
      <c r="I20" s="3" t="n">
        <f aca="false">VALUE(E20)</f>
        <v>0.522</v>
      </c>
    </row>
    <row r="21" customFormat="false" ht="15.75" hidden="false" customHeight="true" outlineLevel="0" collapsed="false">
      <c r="A21" s="1" t="s">
        <v>47</v>
      </c>
      <c r="B21" s="1" t="s">
        <v>48</v>
      </c>
      <c r="C21" s="1" t="str">
        <f aca="false">MID(B21,FIND("R@1",B21)+4,5)</f>
        <v>0.153</v>
      </c>
      <c r="D21" s="1" t="str">
        <f aca="false">MID(B21,FIND("R@5",B21)+4,5)</f>
        <v>0.416</v>
      </c>
      <c r="E21" s="1" t="str">
        <f aca="false">MID(B21,FIND("R@10",B21)+5,5)</f>
        <v>0.555</v>
      </c>
      <c r="F21" s="3" t="n">
        <f aca="false">VALUE(MID(B21,FIND("(n=",B21)+3,FIND(")",B21,FIND("(n=",B21))-FIND("(n=",B21)-3))</f>
        <v>137</v>
      </c>
      <c r="G21" s="3" t="n">
        <f aca="false">VALUE(C21)</f>
        <v>0.153</v>
      </c>
      <c r="H21" s="3" t="n">
        <f aca="false">VALUE(D21)</f>
        <v>0.416</v>
      </c>
      <c r="I21" s="3" t="n">
        <f aca="false">VALUE(E21)</f>
        <v>0.555</v>
      </c>
    </row>
    <row r="22" customFormat="false" ht="15.75" hidden="false" customHeight="true" outlineLevel="0" collapsed="false">
      <c r="A22" s="1" t="s">
        <v>49</v>
      </c>
      <c r="B22" s="1" t="s">
        <v>50</v>
      </c>
      <c r="C22" s="1" t="str">
        <f aca="false">MID(B22,FIND("R@1",B22)+4,5)</f>
        <v>0.103</v>
      </c>
      <c r="D22" s="1" t="str">
        <f aca="false">MID(B22,FIND("R@5",B22)+4,5)</f>
        <v>0.425</v>
      </c>
      <c r="E22" s="1" t="str">
        <f aca="false">MID(B22,FIND("R@10",B22)+5,5)</f>
        <v>0.552</v>
      </c>
      <c r="F22" s="3" t="n">
        <f aca="false">VALUE(MID(B22,FIND("(n=",B22)+3,FIND(")",B22,FIND("(n=",B22))-FIND("(n=",B22)-3))</f>
        <v>87</v>
      </c>
      <c r="G22" s="3" t="n">
        <f aca="false">VALUE(C22)</f>
        <v>0.103</v>
      </c>
      <c r="H22" s="3" t="n">
        <f aca="false">VALUE(D22)</f>
        <v>0.425</v>
      </c>
      <c r="I22" s="3" t="n">
        <f aca="false">VALUE(E22)</f>
        <v>0.552</v>
      </c>
    </row>
    <row r="23" customFormat="false" ht="15.75" hidden="false" customHeight="true" outlineLevel="0" collapsed="false">
      <c r="A23" s="1" t="s">
        <v>51</v>
      </c>
      <c r="B23" s="1" t="s">
        <v>52</v>
      </c>
      <c r="C23" s="1" t="str">
        <f aca="false">MID(B23,FIND("R@1",B23)+4,5)</f>
        <v>0.180</v>
      </c>
      <c r="D23" s="1" t="str">
        <f aca="false">MID(B23,FIND("R@5",B23)+4,5)</f>
        <v>0.303</v>
      </c>
      <c r="E23" s="1" t="str">
        <f aca="false">MID(B23,FIND("R@10",B23)+5,5)</f>
        <v>0.483</v>
      </c>
      <c r="F23" s="3" t="n">
        <f aca="false">VALUE(MID(B23,FIND("(n=",B23)+3,FIND(")",B23,FIND("(n=",B23))-FIND("(n=",B23)-3))</f>
        <v>89</v>
      </c>
      <c r="G23" s="3" t="n">
        <f aca="false">VALUE(C23)</f>
        <v>0.18</v>
      </c>
      <c r="H23" s="3" t="n">
        <f aca="false">VALUE(D23)</f>
        <v>0.303</v>
      </c>
      <c r="I23" s="3" t="n">
        <f aca="false">VALUE(E23)</f>
        <v>0.483</v>
      </c>
    </row>
    <row r="24" customFormat="false" ht="15.75" hidden="false" customHeight="true" outlineLevel="0" collapsed="false">
      <c r="A24" s="1" t="s">
        <v>53</v>
      </c>
      <c r="B24" s="1" t="s">
        <v>54</v>
      </c>
      <c r="C24" s="1" t="str">
        <f aca="false">MID(B24,FIND("R@1",B24)+4,5)</f>
        <v>0.150</v>
      </c>
      <c r="D24" s="1" t="str">
        <f aca="false">MID(B24,FIND("R@5",B24)+4,5)</f>
        <v>0.362</v>
      </c>
      <c r="E24" s="1" t="str">
        <f aca="false">MID(B24,FIND("R@10",B24)+5,5)</f>
        <v>0.487</v>
      </c>
      <c r="F24" s="3" t="n">
        <f aca="false">VALUE(MID(B24,FIND("(n=",B24)+3,FIND(")",B24,FIND("(n=",B24))-FIND("(n=",B24)-3))</f>
        <v>80</v>
      </c>
      <c r="G24" s="3" t="n">
        <f aca="false">VALUE(C24)</f>
        <v>0.15</v>
      </c>
      <c r="H24" s="3" t="n">
        <f aca="false">VALUE(D24)</f>
        <v>0.362</v>
      </c>
      <c r="I24" s="3" t="n">
        <f aca="false">VALUE(E24)</f>
        <v>0.487</v>
      </c>
    </row>
    <row r="25" customFormat="false" ht="15.75" hidden="false" customHeight="true" outlineLevel="0" collapsed="false">
      <c r="A25" s="1" t="s">
        <v>55</v>
      </c>
      <c r="B25" s="1" t="s">
        <v>56</v>
      </c>
      <c r="C25" s="1" t="str">
        <f aca="false">MID(B25,FIND("R@1",B25)+4,5)</f>
        <v>0.164</v>
      </c>
      <c r="D25" s="1" t="str">
        <f aca="false">MID(B25,FIND("R@5",B25)+4,5)</f>
        <v>0.343</v>
      </c>
      <c r="E25" s="1" t="str">
        <f aca="false">MID(B25,FIND("R@10",B25)+5,5)</f>
        <v>0.470</v>
      </c>
      <c r="F25" s="3" t="n">
        <f aca="false">VALUE(MID(B25,FIND("(n=",B25)+3,FIND(")",B25,FIND("(n=",B25))-FIND("(n=",B25)-3))</f>
        <v>134</v>
      </c>
      <c r="G25" s="3" t="n">
        <f aca="false">VALUE(C25)</f>
        <v>0.164</v>
      </c>
      <c r="H25" s="3" t="n">
        <f aca="false">VALUE(D25)</f>
        <v>0.343</v>
      </c>
      <c r="I25" s="3" t="n">
        <f aca="false">VALUE(E25)</f>
        <v>0.47</v>
      </c>
    </row>
    <row r="26" customFormat="false" ht="15.75" hidden="false" customHeight="true" outlineLevel="0" collapsed="false">
      <c r="A26" s="1" t="s">
        <v>57</v>
      </c>
      <c r="B26" s="1" t="s">
        <v>58</v>
      </c>
      <c r="C26" s="1" t="str">
        <f aca="false">MID(B26,FIND("R@1",B26)+4,5)</f>
        <v>0.112</v>
      </c>
      <c r="D26" s="1" t="str">
        <f aca="false">MID(B26,FIND("R@5",B26)+4,5)</f>
        <v>0.429</v>
      </c>
      <c r="E26" s="1" t="str">
        <f aca="false">MID(B26,FIND("R@10",B26)+5,5)</f>
        <v>0.510</v>
      </c>
      <c r="F26" s="3" t="n">
        <f aca="false">VALUE(MID(B26,FIND("(n=",B26)+3,FIND(")",B26,FIND("(n=",B26))-FIND("(n=",B26)-3))</f>
        <v>98</v>
      </c>
      <c r="G26" s="3" t="n">
        <f aca="false">VALUE(C26)</f>
        <v>0.112</v>
      </c>
      <c r="H26" s="3" t="n">
        <f aca="false">VALUE(D26)</f>
        <v>0.429</v>
      </c>
      <c r="I26" s="3" t="n">
        <f aca="false">VALUE(E26)</f>
        <v>0.51</v>
      </c>
    </row>
    <row r="27" customFormat="false" ht="15.75" hidden="false" customHeight="true" outlineLevel="0" collapsed="false">
      <c r="A27" s="1" t="s">
        <v>59</v>
      </c>
      <c r="B27" s="1" t="s">
        <v>60</v>
      </c>
      <c r="C27" s="1" t="str">
        <f aca="false">MID(B27,FIND("R@1",B27)+4,5)</f>
        <v>0.143</v>
      </c>
      <c r="D27" s="1" t="str">
        <f aca="false">MID(B27,FIND("R@5",B27)+4,5)</f>
        <v>0.405</v>
      </c>
      <c r="E27" s="1" t="str">
        <f aca="false">MID(B27,FIND("R@10",B27)+5,5)</f>
        <v>0.603</v>
      </c>
      <c r="F27" s="3" t="n">
        <f aca="false">VALUE(MID(B27,FIND("(n=",B27)+3,FIND(")",B27,FIND("(n=",B27))-FIND("(n=",B27)-3))</f>
        <v>126</v>
      </c>
      <c r="G27" s="3" t="n">
        <f aca="false">VALUE(C27)</f>
        <v>0.143</v>
      </c>
      <c r="H27" s="3" t="n">
        <f aca="false">VALUE(D27)</f>
        <v>0.405</v>
      </c>
      <c r="I27" s="3" t="n">
        <f aca="false">VALUE(E27)</f>
        <v>0.603</v>
      </c>
    </row>
    <row r="28" customFormat="false" ht="15.75" hidden="false" customHeight="true" outlineLevel="0" collapsed="false">
      <c r="A28" s="1" t="s">
        <v>61</v>
      </c>
      <c r="B28" s="1" t="s">
        <v>62</v>
      </c>
      <c r="C28" s="1" t="str">
        <f aca="false">MID(B28,FIND("R@1",B28)+4,5)</f>
        <v>0.197</v>
      </c>
      <c r="D28" s="1" t="str">
        <f aca="false">MID(B28,FIND("R@5",B28)+4,5)</f>
        <v>0.507</v>
      </c>
      <c r="E28" s="1" t="str">
        <f aca="false">MID(B28,FIND("R@10",B28)+5,5)</f>
        <v>0.662</v>
      </c>
      <c r="F28" s="3" t="n">
        <f aca="false">VALUE(MID(B28,FIND("(n=",B28)+3,FIND(")",B28,FIND("(n=",B28))-FIND("(n=",B28)-3))</f>
        <v>71</v>
      </c>
      <c r="G28" s="3" t="n">
        <f aca="false">VALUE(C28)</f>
        <v>0.197</v>
      </c>
      <c r="H28" s="3" t="n">
        <f aca="false">VALUE(D28)</f>
        <v>0.507</v>
      </c>
      <c r="I28" s="3" t="n">
        <f aca="false">VALUE(E28)</f>
        <v>0.662</v>
      </c>
    </row>
    <row r="29" customFormat="false" ht="15.75" hidden="false" customHeight="true" outlineLevel="0" collapsed="false">
      <c r="A29" s="1" t="s">
        <v>63</v>
      </c>
      <c r="B29" s="1" t="s">
        <v>64</v>
      </c>
      <c r="C29" s="1" t="str">
        <f aca="false">MID(B29,FIND("R@1",B29)+4,5)</f>
        <v>0.062</v>
      </c>
      <c r="D29" s="1" t="str">
        <f aca="false">MID(B29,FIND("R@5",B29)+4,5)</f>
        <v>0.297</v>
      </c>
      <c r="E29" s="1" t="str">
        <f aca="false">MID(B29,FIND("R@10",B29)+5,5)</f>
        <v>0.422</v>
      </c>
      <c r="F29" s="3" t="n">
        <f aca="false">VALUE(MID(B29,FIND("(n=",B29)+3,FIND(")",B29,FIND("(n=",B29))-FIND("(n=",B29)-3))</f>
        <v>64</v>
      </c>
      <c r="G29" s="3" t="n">
        <f aca="false">VALUE(C29)</f>
        <v>0.062</v>
      </c>
      <c r="H29" s="3" t="n">
        <f aca="false">VALUE(D29)</f>
        <v>0.297</v>
      </c>
      <c r="I29" s="3" t="n">
        <f aca="false">VALUE(E29)</f>
        <v>0.422</v>
      </c>
    </row>
    <row r="30" customFormat="false" ht="15.75" hidden="false" customHeight="true" outlineLevel="0" collapsed="false">
      <c r="A30" s="1" t="s">
        <v>65</v>
      </c>
      <c r="B30" s="1" t="s">
        <v>66</v>
      </c>
      <c r="C30" s="1" t="str">
        <f aca="false">MID(B30,FIND("R@1",B30)+4,5)</f>
        <v>0.042</v>
      </c>
      <c r="D30" s="1" t="str">
        <f aca="false">MID(B30,FIND("R@5",B30)+4,5)</f>
        <v>0.208</v>
      </c>
      <c r="E30" s="1" t="str">
        <f aca="false">MID(B30,FIND("R@10",B30)+5,5)</f>
        <v>0.375</v>
      </c>
      <c r="F30" s="3" t="n">
        <f aca="false">VALUE(MID(B30,FIND("(n=",B30)+3,FIND(")",B30,FIND("(n=",B30))-FIND("(n=",B30)-3))</f>
        <v>72</v>
      </c>
      <c r="G30" s="3" t="n">
        <f aca="false">VALUE(C30)</f>
        <v>0.042</v>
      </c>
      <c r="H30" s="3" t="n">
        <f aca="false">VALUE(D30)</f>
        <v>0.208</v>
      </c>
      <c r="I30" s="3" t="n">
        <f aca="false">VALUE(E30)</f>
        <v>0.375</v>
      </c>
    </row>
    <row r="33" customFormat="false" ht="15.75" hidden="false" customHeight="true" outlineLevel="0" collapsed="false">
      <c r="A33" s="1" t="s">
        <v>67</v>
      </c>
    </row>
    <row r="34" customFormat="false" ht="15.75" hidden="false" customHeight="true" outlineLevel="0" collapsed="false">
      <c r="A34" s="1" t="s">
        <v>2</v>
      </c>
      <c r="B34" s="1" t="n">
        <v>0.1894</v>
      </c>
    </row>
    <row r="35" customFormat="false" ht="15.75" hidden="false" customHeight="true" outlineLevel="0" collapsed="false">
      <c r="A35" s="1" t="s">
        <v>3</v>
      </c>
      <c r="B35" s="1" t="n">
        <v>0.426</v>
      </c>
    </row>
    <row r="36" customFormat="false" ht="15.75" hidden="false" customHeight="true" outlineLevel="0" collapsed="false">
      <c r="A36" s="1" t="s">
        <v>4</v>
      </c>
      <c r="B36" s="1" t="n">
        <v>0.5422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32.67"/>
    <col collapsed="false" customWidth="true" hidden="false" outlineLevel="0" max="2" min="2" style="1" width="52.83"/>
    <col collapsed="false" customWidth="true" hidden="false" outlineLevel="0" max="9" min="6" style="1" width="14"/>
  </cols>
  <sheetData>
    <row r="1" customFormat="false" ht="18.75" hidden="false" customHeight="true" outlineLevel="0" collapsed="false">
      <c r="A1" s="4" t="s">
        <v>0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.75" hidden="false" customHeight="true" outlineLevel="0" collapsed="false">
      <c r="A2" s="1" t="s">
        <v>9</v>
      </c>
      <c r="B2" s="1" t="s">
        <v>68</v>
      </c>
      <c r="C2" s="1" t="str">
        <f aca="false">MID(B2,FIND("R@1",B2)+4,5)</f>
        <v>0.219</v>
      </c>
      <c r="D2" s="1" t="str">
        <f aca="false">MID(B2,FIND("R@5",B2)+4,5)</f>
        <v>0.438</v>
      </c>
      <c r="E2" s="1" t="str">
        <f aca="false">MID(B2,FIND("R@10",B2)+5,5)</f>
        <v>0.609</v>
      </c>
      <c r="F2" s="3" t="n">
        <f aca="false">VALUE(MID(B2,FIND("(n=",B2)+3,FIND(")",B2,FIND("(n=",B2))-FIND("(n=",B2)-3))</f>
        <v>64</v>
      </c>
      <c r="G2" s="3" t="n">
        <f aca="false">VALUE(C2)</f>
        <v>0.219</v>
      </c>
      <c r="H2" s="3" t="n">
        <f aca="false">VALUE(D2)</f>
        <v>0.438</v>
      </c>
      <c r="I2" s="3" t="n">
        <f aca="false">VALUE(E2)</f>
        <v>0.609</v>
      </c>
    </row>
    <row r="3" customFormat="false" ht="15.75" hidden="false" customHeight="true" outlineLevel="0" collapsed="false">
      <c r="A3" s="1" t="s">
        <v>11</v>
      </c>
      <c r="B3" s="1" t="s">
        <v>69</v>
      </c>
      <c r="C3" s="1" t="str">
        <f aca="false">MID(B3,FIND("R@1",B3)+4,5)</f>
        <v>0.165</v>
      </c>
      <c r="D3" s="1" t="str">
        <f aca="false">MID(B3,FIND("R@5",B3)+4,5)</f>
        <v>0.412</v>
      </c>
      <c r="E3" s="1" t="str">
        <f aca="false">MID(B3,FIND("R@10",B3)+5,5)</f>
        <v>0.553</v>
      </c>
      <c r="F3" s="3" t="n">
        <f aca="false">VALUE(MID(B3,FIND("(n=",B3)+3,FIND(")",B3,FIND("(n=",B3))-FIND("(n=",B3)-3))</f>
        <v>85</v>
      </c>
      <c r="G3" s="3" t="n">
        <f aca="false">VALUE(C3)</f>
        <v>0.165</v>
      </c>
      <c r="H3" s="3" t="n">
        <f aca="false">VALUE(D3)</f>
        <v>0.412</v>
      </c>
      <c r="I3" s="3" t="n">
        <f aca="false">VALUE(E3)</f>
        <v>0.553</v>
      </c>
    </row>
    <row r="4" customFormat="false" ht="15.75" hidden="false" customHeight="true" outlineLevel="0" collapsed="false">
      <c r="A4" s="1" t="s">
        <v>13</v>
      </c>
      <c r="B4" s="1" t="s">
        <v>70</v>
      </c>
      <c r="C4" s="1" t="str">
        <f aca="false">MID(B4,FIND("R@1",B4)+4,5)</f>
        <v>0.099</v>
      </c>
      <c r="D4" s="1" t="str">
        <f aca="false">MID(B4,FIND("R@5",B4)+4,5)</f>
        <v>0.282</v>
      </c>
      <c r="E4" s="1" t="str">
        <f aca="false">MID(B4,FIND("R@10",B4)+5,5)</f>
        <v>0.366</v>
      </c>
      <c r="F4" s="3" t="n">
        <f aca="false">VALUE(MID(B4,FIND("(n=",B4)+3,FIND(")",B4,FIND("(n=",B4))-FIND("(n=",B4)-3))</f>
        <v>71</v>
      </c>
      <c r="G4" s="3" t="n">
        <f aca="false">VALUE(C4)</f>
        <v>0.099</v>
      </c>
      <c r="H4" s="3" t="n">
        <f aca="false">VALUE(D4)</f>
        <v>0.282</v>
      </c>
      <c r="I4" s="3" t="n">
        <f aca="false">VALUE(E4)</f>
        <v>0.366</v>
      </c>
    </row>
    <row r="5" customFormat="false" ht="15.75" hidden="false" customHeight="true" outlineLevel="0" collapsed="false">
      <c r="A5" s="1" t="s">
        <v>15</v>
      </c>
      <c r="B5" s="1" t="s">
        <v>71</v>
      </c>
      <c r="C5" s="1" t="str">
        <f aca="false">MID(B5,FIND("R@1",B5)+4,5)</f>
        <v>0.073</v>
      </c>
      <c r="D5" s="1" t="str">
        <f aca="false">MID(B5,FIND("R@5",B5)+4,5)</f>
        <v>0.242</v>
      </c>
      <c r="E5" s="1" t="str">
        <f aca="false">MID(B5,FIND("R@10",B5)+5,5)</f>
        <v>0.349</v>
      </c>
      <c r="F5" s="3" t="n">
        <f aca="false">VALUE(MID(B5,FIND("(n=",B5)+3,FIND(")",B5,FIND("(n=",B5))-FIND("(n=",B5)-3))</f>
        <v>963</v>
      </c>
      <c r="G5" s="3" t="n">
        <f aca="false">VALUE(C5)</f>
        <v>0.073</v>
      </c>
      <c r="H5" s="3" t="n">
        <f aca="false">VALUE(D5)</f>
        <v>0.242</v>
      </c>
      <c r="I5" s="3" t="n">
        <f aca="false">VALUE(E5)</f>
        <v>0.349</v>
      </c>
    </row>
    <row r="6" customFormat="false" ht="15.75" hidden="false" customHeight="true" outlineLevel="0" collapsed="false">
      <c r="A6" s="1" t="s">
        <v>17</v>
      </c>
      <c r="B6" s="1" t="s">
        <v>72</v>
      </c>
      <c r="C6" s="1" t="str">
        <f aca="false">MID(B6,FIND("R@1",B6)+4,5)</f>
        <v>0.377</v>
      </c>
      <c r="D6" s="1" t="str">
        <f aca="false">MID(B6,FIND("R@5",B6)+4,5)</f>
        <v>0.735</v>
      </c>
      <c r="E6" s="1" t="str">
        <f aca="false">MID(B6,FIND("R@10",B6)+5,5)</f>
        <v>0.844</v>
      </c>
      <c r="F6" s="3" t="n">
        <f aca="false">VALUE(MID(B6,FIND("(n=",B6)+3,FIND(")",B6,FIND("(n=",B6))-FIND("(n=",B6)-3))</f>
        <v>923</v>
      </c>
      <c r="G6" s="3" t="n">
        <f aca="false">VALUE(C6)</f>
        <v>0.377</v>
      </c>
      <c r="H6" s="3" t="n">
        <f aca="false">VALUE(D6)</f>
        <v>0.735</v>
      </c>
      <c r="I6" s="3" t="n">
        <f aca="false">VALUE(E6)</f>
        <v>0.844</v>
      </c>
    </row>
    <row r="7" customFormat="false" ht="15.75" hidden="false" customHeight="true" outlineLevel="0" collapsed="false">
      <c r="A7" s="1" t="s">
        <v>19</v>
      </c>
      <c r="B7" s="1" t="s">
        <v>73</v>
      </c>
      <c r="C7" s="1" t="str">
        <f aca="false">MID(B7,FIND("R@1",B7)+4,5)</f>
        <v>0.239</v>
      </c>
      <c r="D7" s="1" t="str">
        <f aca="false">MID(B7,FIND("R@5",B7)+4,5)</f>
        <v>0.612</v>
      </c>
      <c r="E7" s="1" t="str">
        <f aca="false">MID(B7,FIND("R@10",B7)+5,5)</f>
        <v>0.791</v>
      </c>
      <c r="F7" s="3" t="n">
        <f aca="false">VALUE(MID(B7,FIND("(n=",B7)+3,FIND(")",B7,FIND("(n=",B7))-FIND("(n=",B7)-3))</f>
        <v>67</v>
      </c>
      <c r="G7" s="3" t="n">
        <f aca="false">VALUE(C7)</f>
        <v>0.239</v>
      </c>
      <c r="H7" s="3" t="n">
        <f aca="false">VALUE(D7)</f>
        <v>0.612</v>
      </c>
      <c r="I7" s="3" t="n">
        <f aca="false">VALUE(E7)</f>
        <v>0.791</v>
      </c>
    </row>
    <row r="8" customFormat="false" ht="15.75" hidden="false" customHeight="true" outlineLevel="0" collapsed="false">
      <c r="A8" s="1" t="s">
        <v>21</v>
      </c>
      <c r="B8" s="1" t="s">
        <v>74</v>
      </c>
      <c r="C8" s="1" t="str">
        <f aca="false">MID(B8,FIND("R@1",B8)+4,5)</f>
        <v>0.072</v>
      </c>
      <c r="D8" s="1" t="str">
        <f aca="false">MID(B8,FIND("R@5",B8)+4,5)</f>
        <v>0.197</v>
      </c>
      <c r="E8" s="1" t="str">
        <f aca="false">MID(B8,FIND("R@10",B8)+5,5)</f>
        <v>0.263</v>
      </c>
      <c r="F8" s="3" t="n">
        <f aca="false">VALUE(MID(B8,FIND("(n=",B8)+3,FIND(")",B8,FIND("(n=",B8))-FIND("(n=",B8)-3))</f>
        <v>152</v>
      </c>
      <c r="G8" s="3" t="n">
        <f aca="false">VALUE(C8)</f>
        <v>0.072</v>
      </c>
      <c r="H8" s="3" t="n">
        <f aca="false">VALUE(D8)</f>
        <v>0.197</v>
      </c>
      <c r="I8" s="3" t="n">
        <f aca="false">VALUE(E8)</f>
        <v>0.263</v>
      </c>
    </row>
    <row r="9" customFormat="false" ht="15.75" hidden="false" customHeight="true" outlineLevel="0" collapsed="false">
      <c r="A9" s="1" t="s">
        <v>23</v>
      </c>
      <c r="B9" s="1" t="s">
        <v>75</v>
      </c>
      <c r="C9" s="1" t="str">
        <f aca="false">MID(B9,FIND("R@1",B9)+4,5)</f>
        <v>0.121</v>
      </c>
      <c r="D9" s="1" t="str">
        <f aca="false">MID(B9,FIND("R@5",B9)+4,5)</f>
        <v>0.363</v>
      </c>
      <c r="E9" s="1" t="str">
        <f aca="false">MID(B9,FIND("R@10",B9)+5,5)</f>
        <v>0.474</v>
      </c>
      <c r="F9" s="3" t="n">
        <f aca="false">VALUE(MID(B9,FIND("(n=",B9)+3,FIND(")",B9,FIND("(n=",B9))-FIND("(n=",B9)-3))</f>
        <v>306</v>
      </c>
      <c r="G9" s="3" t="n">
        <f aca="false">VALUE(C9)</f>
        <v>0.121</v>
      </c>
      <c r="H9" s="3" t="n">
        <f aca="false">VALUE(D9)</f>
        <v>0.363</v>
      </c>
      <c r="I9" s="3" t="n">
        <f aca="false">VALUE(E9)</f>
        <v>0.474</v>
      </c>
    </row>
    <row r="10" customFormat="false" ht="15.75" hidden="false" customHeight="true" outlineLevel="0" collapsed="false">
      <c r="A10" s="1" t="s">
        <v>25</v>
      </c>
      <c r="B10" s="1" t="s">
        <v>76</v>
      </c>
      <c r="C10" s="1" t="str">
        <f aca="false">MID(B10,FIND("R@1",B10)+4,5)</f>
        <v>0.303</v>
      </c>
      <c r="D10" s="1" t="str">
        <f aca="false">MID(B10,FIND("R@5",B10)+4,5)</f>
        <v>0.566</v>
      </c>
      <c r="E10" s="1" t="str">
        <f aca="false">MID(B10,FIND("R@10",B10)+5,5)</f>
        <v>0.711</v>
      </c>
      <c r="F10" s="3" t="n">
        <f aca="false">VALUE(MID(B10,FIND("(n=",B10)+3,FIND(")",B10,FIND("(n=",B10))-FIND("(n=",B10)-3))</f>
        <v>76</v>
      </c>
      <c r="G10" s="3" t="n">
        <f aca="false">VALUE(C10)</f>
        <v>0.303</v>
      </c>
      <c r="H10" s="3" t="n">
        <f aca="false">VALUE(D10)</f>
        <v>0.566</v>
      </c>
      <c r="I10" s="3" t="n">
        <f aca="false">VALUE(E10)</f>
        <v>0.711</v>
      </c>
    </row>
    <row r="11" customFormat="false" ht="15.75" hidden="false" customHeight="true" outlineLevel="0" collapsed="false">
      <c r="A11" s="1" t="s">
        <v>27</v>
      </c>
      <c r="B11" s="1" t="s">
        <v>77</v>
      </c>
      <c r="C11" s="1" t="str">
        <f aca="false">MID(B11,FIND("R@1",B11)+4,5)</f>
        <v>0.202</v>
      </c>
      <c r="D11" s="1" t="str">
        <f aca="false">MID(B11,FIND("R@5",B11)+4,5)</f>
        <v>0.512</v>
      </c>
      <c r="E11" s="1" t="str">
        <f aca="false">MID(B11,FIND("R@10",B11)+5,5)</f>
        <v>0.679</v>
      </c>
      <c r="F11" s="3" t="n">
        <f aca="false">VALUE(MID(B11,FIND("(n=",B11)+3,FIND(")",B11,FIND("(n=",B11))-FIND("(n=",B11)-3))</f>
        <v>84</v>
      </c>
      <c r="G11" s="3" t="n">
        <f aca="false">VALUE(C11)</f>
        <v>0.202</v>
      </c>
      <c r="H11" s="3" t="n">
        <f aca="false">VALUE(D11)</f>
        <v>0.512</v>
      </c>
      <c r="I11" s="3" t="n">
        <f aca="false">VALUE(E11)</f>
        <v>0.679</v>
      </c>
    </row>
    <row r="12" customFormat="false" ht="15.75" hidden="false" customHeight="true" outlineLevel="0" collapsed="false">
      <c r="A12" s="1" t="s">
        <v>29</v>
      </c>
      <c r="B12" s="1" t="s">
        <v>78</v>
      </c>
      <c r="C12" s="1" t="str">
        <f aca="false">MID(B12,FIND("R@1",B12)+4,5)</f>
        <v>0.121</v>
      </c>
      <c r="D12" s="1" t="str">
        <f aca="false">MID(B12,FIND("R@5",B12)+4,5)</f>
        <v>0.258</v>
      </c>
      <c r="E12" s="1" t="str">
        <f aca="false">MID(B12,FIND("R@10",B12)+5,5)</f>
        <v>0.348</v>
      </c>
      <c r="F12" s="3" t="n">
        <f aca="false">VALUE(MID(B12,FIND("(n=",B12)+3,FIND(")",B12,FIND("(n=",B12))-FIND("(n=",B12)-3))</f>
        <v>198</v>
      </c>
      <c r="G12" s="3" t="n">
        <f aca="false">VALUE(C12)</f>
        <v>0.121</v>
      </c>
      <c r="H12" s="3" t="n">
        <f aca="false">VALUE(D12)</f>
        <v>0.258</v>
      </c>
      <c r="I12" s="3" t="n">
        <f aca="false">VALUE(E12)</f>
        <v>0.348</v>
      </c>
    </row>
    <row r="13" customFormat="false" ht="15.75" hidden="false" customHeight="true" outlineLevel="0" collapsed="false">
      <c r="A13" s="1" t="s">
        <v>31</v>
      </c>
      <c r="B13" s="1" t="s">
        <v>79</v>
      </c>
      <c r="C13" s="1" t="str">
        <f aca="false">MID(B13,FIND("R@1",B13)+4,5)</f>
        <v>0.184</v>
      </c>
      <c r="D13" s="1" t="str">
        <f aca="false">MID(B13,FIND("R@5",B13)+4,5)</f>
        <v>0.393</v>
      </c>
      <c r="E13" s="1" t="str">
        <f aca="false">MID(B13,FIND("R@10",B13)+5,5)</f>
        <v>0.528</v>
      </c>
      <c r="F13" s="3" t="n">
        <f aca="false">VALUE(MID(B13,FIND("(n=",B13)+3,FIND(")",B13,FIND("(n=",B13))-FIND("(n=",B13)-3))</f>
        <v>163</v>
      </c>
      <c r="G13" s="3" t="n">
        <f aca="false">VALUE(C13)</f>
        <v>0.184</v>
      </c>
      <c r="H13" s="3" t="n">
        <f aca="false">VALUE(D13)</f>
        <v>0.393</v>
      </c>
      <c r="I13" s="3" t="n">
        <f aca="false">VALUE(E13)</f>
        <v>0.528</v>
      </c>
    </row>
    <row r="14" customFormat="false" ht="15.75" hidden="false" customHeight="true" outlineLevel="0" collapsed="false">
      <c r="A14" s="1" t="s">
        <v>33</v>
      </c>
      <c r="B14" s="1" t="s">
        <v>80</v>
      </c>
      <c r="C14" s="1" t="str">
        <f aca="false">MID(B14,FIND("R@1",B14)+4,5)</f>
        <v>0.069</v>
      </c>
      <c r="D14" s="1" t="str">
        <f aca="false">MID(B14,FIND("R@5",B14)+4,5)</f>
        <v>0.256</v>
      </c>
      <c r="E14" s="1" t="str">
        <f aca="false">MID(B14,FIND("R@10",B14)+5,5)</f>
        <v>0.339</v>
      </c>
      <c r="F14" s="3" t="n">
        <f aca="false">VALUE(MID(B14,FIND("(n=",B14)+3,FIND(")",B14,FIND("(n=",B14))-FIND("(n=",B14)-3))</f>
        <v>277</v>
      </c>
      <c r="G14" s="3" t="n">
        <f aca="false">VALUE(C14)</f>
        <v>0.069</v>
      </c>
      <c r="H14" s="3" t="n">
        <f aca="false">VALUE(D14)</f>
        <v>0.256</v>
      </c>
      <c r="I14" s="3" t="n">
        <f aca="false">VALUE(E14)</f>
        <v>0.339</v>
      </c>
    </row>
    <row r="15" customFormat="false" ht="15.75" hidden="false" customHeight="true" outlineLevel="0" collapsed="false">
      <c r="A15" s="1" t="s">
        <v>35</v>
      </c>
      <c r="B15" s="1" t="s">
        <v>81</v>
      </c>
      <c r="C15" s="1" t="str">
        <f aca="false">MID(B15,FIND("R@1",B15)+4,5)</f>
        <v>0.402</v>
      </c>
      <c r="D15" s="1" t="str">
        <f aca="false">MID(B15,FIND("R@5",B15)+4,5)</f>
        <v>0.902</v>
      </c>
      <c r="E15" s="1" t="str">
        <f aca="false">MID(B15,FIND("R@10",B15)+5,5)</f>
        <v>0.946</v>
      </c>
      <c r="F15" s="3" t="n">
        <f aca="false">VALUE(MID(B15,FIND("(n=",B15)+3,FIND(")",B15,FIND("(n=",B15))-FIND("(n=",B15)-3))</f>
        <v>92</v>
      </c>
      <c r="G15" s="3" t="n">
        <f aca="false">VALUE(C15)</f>
        <v>0.402</v>
      </c>
      <c r="H15" s="3" t="n">
        <f aca="false">VALUE(D15)</f>
        <v>0.902</v>
      </c>
      <c r="I15" s="3" t="n">
        <f aca="false">VALUE(E15)</f>
        <v>0.946</v>
      </c>
    </row>
    <row r="16" customFormat="false" ht="15.75" hidden="false" customHeight="true" outlineLevel="0" collapsed="false">
      <c r="A16" s="1" t="s">
        <v>37</v>
      </c>
      <c r="B16" s="1" t="s">
        <v>82</v>
      </c>
      <c r="C16" s="1" t="str">
        <f aca="false">MID(B16,FIND("R@1",B16)+4,5)</f>
        <v>0.109</v>
      </c>
      <c r="D16" s="1" t="str">
        <f aca="false">MID(B16,FIND("R@5",B16)+4,5)</f>
        <v>0.234</v>
      </c>
      <c r="E16" s="1" t="str">
        <f aca="false">MID(B16,FIND("R@10",B16)+5,5)</f>
        <v>0.328</v>
      </c>
      <c r="F16" s="3" t="n">
        <f aca="false">VALUE(MID(B16,FIND("(n=",B16)+3,FIND(")",B16,FIND("(n=",B16))-FIND("(n=",B16)-3))</f>
        <v>64</v>
      </c>
      <c r="G16" s="3" t="n">
        <f aca="false">VALUE(C16)</f>
        <v>0.109</v>
      </c>
      <c r="H16" s="3" t="n">
        <f aca="false">VALUE(D16)</f>
        <v>0.234</v>
      </c>
      <c r="I16" s="3" t="n">
        <f aca="false">VALUE(E16)</f>
        <v>0.328</v>
      </c>
    </row>
    <row r="17" customFormat="false" ht="15.75" hidden="false" customHeight="true" outlineLevel="0" collapsed="false">
      <c r="A17" s="1" t="s">
        <v>39</v>
      </c>
      <c r="B17" s="1" t="s">
        <v>83</v>
      </c>
      <c r="C17" s="1" t="str">
        <f aca="false">MID(B17,FIND("R@1",B17)+4,5)</f>
        <v>0.119</v>
      </c>
      <c r="D17" s="1" t="str">
        <f aca="false">MID(B17,FIND("R@5",B17)+4,5)</f>
        <v>0.313</v>
      </c>
      <c r="E17" s="1" t="str">
        <f aca="false">MID(B17,FIND("R@10",B17)+5,5)</f>
        <v>0.448</v>
      </c>
      <c r="F17" s="3" t="n">
        <f aca="false">VALUE(MID(B17,FIND("(n=",B17)+3,FIND(")",B17,FIND("(n=",B17))-FIND("(n=",B17)-3))</f>
        <v>67</v>
      </c>
      <c r="G17" s="3" t="n">
        <f aca="false">VALUE(C17)</f>
        <v>0.119</v>
      </c>
      <c r="H17" s="3" t="n">
        <f aca="false">VALUE(D17)</f>
        <v>0.313</v>
      </c>
      <c r="I17" s="3" t="n">
        <f aca="false">VALUE(E17)</f>
        <v>0.448</v>
      </c>
    </row>
    <row r="18" customFormat="false" ht="15.75" hidden="false" customHeight="true" outlineLevel="0" collapsed="false">
      <c r="A18" s="1" t="s">
        <v>41</v>
      </c>
      <c r="B18" s="1" t="s">
        <v>84</v>
      </c>
      <c r="C18" s="1" t="str">
        <f aca="false">MID(B18,FIND("R@1",B18)+4,5)</f>
        <v>0.055</v>
      </c>
      <c r="D18" s="1" t="str">
        <f aca="false">MID(B18,FIND("R@5",B18)+4,5)</f>
        <v>0.194</v>
      </c>
      <c r="E18" s="1" t="str">
        <f aca="false">MID(B18,FIND("R@10",B18)+5,5)</f>
        <v>0.327</v>
      </c>
      <c r="F18" s="3" t="n">
        <f aca="false">VALUE(MID(B18,FIND("(n=",B18)+3,FIND(")",B18,FIND("(n=",B18))-FIND("(n=",B18)-3))</f>
        <v>165</v>
      </c>
      <c r="G18" s="3" t="n">
        <f aca="false">VALUE(C18)</f>
        <v>0.055</v>
      </c>
      <c r="H18" s="3" t="n">
        <f aca="false">VALUE(D18)</f>
        <v>0.194</v>
      </c>
      <c r="I18" s="3" t="n">
        <f aca="false">VALUE(E18)</f>
        <v>0.327</v>
      </c>
    </row>
    <row r="19" customFormat="false" ht="15.75" hidden="false" customHeight="true" outlineLevel="0" collapsed="false">
      <c r="A19" s="1" t="s">
        <v>43</v>
      </c>
      <c r="B19" s="1" t="s">
        <v>85</v>
      </c>
      <c r="C19" s="1" t="str">
        <f aca="false">MID(B19,FIND("R@1",B19)+4,5)</f>
        <v>0.303</v>
      </c>
      <c r="D19" s="1" t="str">
        <f aca="false">MID(B19,FIND("R@5",B19)+4,5)</f>
        <v>0.681</v>
      </c>
      <c r="E19" s="1" t="str">
        <f aca="false">MID(B19,FIND("R@10",B19)+5,5)</f>
        <v>0.784</v>
      </c>
      <c r="F19" s="3" t="n">
        <f aca="false">VALUE(MID(B19,FIND("(n=",B19)+3,FIND(")",B19,FIND("(n=",B19))-FIND("(n=",B19)-3))</f>
        <v>185</v>
      </c>
      <c r="G19" s="3" t="n">
        <f aca="false">VALUE(C19)</f>
        <v>0.303</v>
      </c>
      <c r="H19" s="3" t="n">
        <f aca="false">VALUE(D19)</f>
        <v>0.681</v>
      </c>
      <c r="I19" s="3" t="n">
        <f aca="false">VALUE(E19)</f>
        <v>0.784</v>
      </c>
    </row>
    <row r="20" customFormat="false" ht="15.75" hidden="false" customHeight="true" outlineLevel="0" collapsed="false">
      <c r="A20" s="1" t="s">
        <v>45</v>
      </c>
      <c r="B20" s="1" t="s">
        <v>86</v>
      </c>
      <c r="C20" s="1" t="str">
        <f aca="false">MID(B20,FIND("R@1",B20)+4,5)</f>
        <v>0.081</v>
      </c>
      <c r="D20" s="1" t="str">
        <f aca="false">MID(B20,FIND("R@5",B20)+4,5)</f>
        <v>0.316</v>
      </c>
      <c r="E20" s="1" t="str">
        <f aca="false">MID(B20,FIND("R@10",B20)+5,5)</f>
        <v>0.412</v>
      </c>
      <c r="F20" s="3" t="n">
        <f aca="false">VALUE(MID(B20,FIND("(n=",B20)+3,FIND(")",B20,FIND("(n=",B20))-FIND("(n=",B20)-3))</f>
        <v>136</v>
      </c>
      <c r="G20" s="3" t="n">
        <f aca="false">VALUE(C20)</f>
        <v>0.081</v>
      </c>
      <c r="H20" s="3" t="n">
        <f aca="false">VALUE(D20)</f>
        <v>0.316</v>
      </c>
      <c r="I20" s="3" t="n">
        <f aca="false">VALUE(E20)</f>
        <v>0.412</v>
      </c>
    </row>
    <row r="21" customFormat="false" ht="15.75" hidden="false" customHeight="true" outlineLevel="0" collapsed="false">
      <c r="A21" s="1" t="s">
        <v>47</v>
      </c>
      <c r="B21" s="1" t="s">
        <v>87</v>
      </c>
      <c r="C21" s="1" t="str">
        <f aca="false">MID(B21,FIND("R@1",B21)+4,5)</f>
        <v>0.139</v>
      </c>
      <c r="D21" s="1" t="str">
        <f aca="false">MID(B21,FIND("R@5",B21)+4,5)</f>
        <v>0.387</v>
      </c>
      <c r="E21" s="1" t="str">
        <f aca="false">MID(B21,FIND("R@10",B21)+5,5)</f>
        <v>0.526</v>
      </c>
      <c r="F21" s="3" t="n">
        <f aca="false">VALUE(MID(B21,FIND("(n=",B21)+3,FIND(")",B21,FIND("(n=",B21))-FIND("(n=",B21)-3))</f>
        <v>137</v>
      </c>
      <c r="G21" s="3" t="n">
        <f aca="false">VALUE(C21)</f>
        <v>0.139</v>
      </c>
      <c r="H21" s="3" t="n">
        <f aca="false">VALUE(D21)</f>
        <v>0.387</v>
      </c>
      <c r="I21" s="3" t="n">
        <f aca="false">VALUE(E21)</f>
        <v>0.526</v>
      </c>
    </row>
    <row r="22" customFormat="false" ht="15.75" hidden="false" customHeight="true" outlineLevel="0" collapsed="false">
      <c r="A22" s="1" t="s">
        <v>49</v>
      </c>
      <c r="B22" s="1" t="s">
        <v>88</v>
      </c>
      <c r="C22" s="1" t="str">
        <f aca="false">MID(B22,FIND("R@1",B22)+4,5)</f>
        <v>0.138</v>
      </c>
      <c r="D22" s="1" t="str">
        <f aca="false">MID(B22,FIND("R@5",B22)+4,5)</f>
        <v>0.517</v>
      </c>
      <c r="E22" s="1" t="str">
        <f aca="false">MID(B22,FIND("R@10",B22)+5,5)</f>
        <v>0.575</v>
      </c>
      <c r="F22" s="3" t="n">
        <f aca="false">VALUE(MID(B22,FIND("(n=",B22)+3,FIND(")",B22,FIND("(n=",B22))-FIND("(n=",B22)-3))</f>
        <v>87</v>
      </c>
      <c r="G22" s="3" t="n">
        <f aca="false">VALUE(C22)</f>
        <v>0.138</v>
      </c>
      <c r="H22" s="3" t="n">
        <f aca="false">VALUE(D22)</f>
        <v>0.517</v>
      </c>
      <c r="I22" s="3" t="n">
        <f aca="false">VALUE(E22)</f>
        <v>0.575</v>
      </c>
    </row>
    <row r="23" customFormat="false" ht="15.75" hidden="false" customHeight="true" outlineLevel="0" collapsed="false">
      <c r="A23" s="1" t="s">
        <v>51</v>
      </c>
      <c r="B23" s="1" t="s">
        <v>89</v>
      </c>
      <c r="C23" s="1" t="str">
        <f aca="false">MID(B23,FIND("R@1",B23)+4,5)</f>
        <v>0.112</v>
      </c>
      <c r="D23" s="1" t="str">
        <f aca="false">MID(B23,FIND("R@5",B23)+4,5)</f>
        <v>0.315</v>
      </c>
      <c r="E23" s="1" t="str">
        <f aca="false">MID(B23,FIND("R@10",B23)+5,5)</f>
        <v>0.382</v>
      </c>
      <c r="F23" s="3" t="n">
        <f aca="false">VALUE(MID(B23,FIND("(n=",B23)+3,FIND(")",B23,FIND("(n=",B23))-FIND("(n=",B23)-3))</f>
        <v>89</v>
      </c>
      <c r="G23" s="3" t="n">
        <f aca="false">VALUE(C23)</f>
        <v>0.112</v>
      </c>
      <c r="H23" s="3" t="n">
        <f aca="false">VALUE(D23)</f>
        <v>0.315</v>
      </c>
      <c r="I23" s="3" t="n">
        <f aca="false">VALUE(E23)</f>
        <v>0.382</v>
      </c>
    </row>
    <row r="24" customFormat="false" ht="15.75" hidden="false" customHeight="true" outlineLevel="0" collapsed="false">
      <c r="A24" s="1" t="s">
        <v>53</v>
      </c>
      <c r="B24" s="1" t="s">
        <v>90</v>
      </c>
      <c r="C24" s="1" t="str">
        <f aca="false">MID(B24,FIND("R@1",B24)+4,5)</f>
        <v>0.100</v>
      </c>
      <c r="D24" s="1" t="str">
        <f aca="false">MID(B24,FIND("R@5",B24)+4,5)</f>
        <v>0.338</v>
      </c>
      <c r="E24" s="1" t="str">
        <f aca="false">MID(B24,FIND("R@10",B24)+5,5)</f>
        <v>0.487</v>
      </c>
      <c r="F24" s="3" t="n">
        <f aca="false">VALUE(MID(B24,FIND("(n=",B24)+3,FIND(")",B24,FIND("(n=",B24))-FIND("(n=",B24)-3))</f>
        <v>80</v>
      </c>
      <c r="G24" s="3" t="n">
        <f aca="false">VALUE(C24)</f>
        <v>0.1</v>
      </c>
      <c r="H24" s="3" t="n">
        <f aca="false">VALUE(D24)</f>
        <v>0.338</v>
      </c>
      <c r="I24" s="3" t="n">
        <f aca="false">VALUE(E24)</f>
        <v>0.487</v>
      </c>
    </row>
    <row r="25" customFormat="false" ht="15.75" hidden="false" customHeight="true" outlineLevel="0" collapsed="false">
      <c r="A25" s="1" t="s">
        <v>55</v>
      </c>
      <c r="B25" s="1" t="s">
        <v>91</v>
      </c>
      <c r="C25" s="1" t="str">
        <f aca="false">MID(B25,FIND("R@1",B25)+4,5)</f>
        <v>0.112</v>
      </c>
      <c r="D25" s="1" t="str">
        <f aca="false">MID(B25,FIND("R@5",B25)+4,5)</f>
        <v>0.276</v>
      </c>
      <c r="E25" s="1" t="str">
        <f aca="false">MID(B25,FIND("R@10",B25)+5,5)</f>
        <v>0.448</v>
      </c>
      <c r="F25" s="3" t="n">
        <f aca="false">VALUE(MID(B25,FIND("(n=",B25)+3,FIND(")",B25,FIND("(n=",B25))-FIND("(n=",B25)-3))</f>
        <v>134</v>
      </c>
      <c r="G25" s="3" t="n">
        <f aca="false">VALUE(C25)</f>
        <v>0.112</v>
      </c>
      <c r="H25" s="3" t="n">
        <f aca="false">VALUE(D25)</f>
        <v>0.276</v>
      </c>
      <c r="I25" s="3" t="n">
        <f aca="false">VALUE(E25)</f>
        <v>0.448</v>
      </c>
    </row>
    <row r="26" customFormat="false" ht="15.75" hidden="false" customHeight="true" outlineLevel="0" collapsed="false">
      <c r="A26" s="1" t="s">
        <v>57</v>
      </c>
      <c r="B26" s="1" t="s">
        <v>92</v>
      </c>
      <c r="C26" s="1" t="str">
        <f aca="false">MID(B26,FIND("R@1",B26)+4,5)</f>
        <v>0.092</v>
      </c>
      <c r="D26" s="1" t="str">
        <f aca="false">MID(B26,FIND("R@5",B26)+4,5)</f>
        <v>0.347</v>
      </c>
      <c r="E26" s="1" t="str">
        <f aca="false">MID(B26,FIND("R@10",B26)+5,5)</f>
        <v>0.398</v>
      </c>
      <c r="F26" s="3" t="n">
        <f aca="false">VALUE(MID(B26,FIND("(n=",B26)+3,FIND(")",B26,FIND("(n=",B26))-FIND("(n=",B26)-3))</f>
        <v>98</v>
      </c>
      <c r="G26" s="3" t="n">
        <f aca="false">VALUE(C26)</f>
        <v>0.092</v>
      </c>
      <c r="H26" s="3" t="n">
        <f aca="false">VALUE(D26)</f>
        <v>0.347</v>
      </c>
      <c r="I26" s="3" t="n">
        <f aca="false">VALUE(E26)</f>
        <v>0.398</v>
      </c>
    </row>
    <row r="27" customFormat="false" ht="15.75" hidden="false" customHeight="true" outlineLevel="0" collapsed="false">
      <c r="A27" s="1" t="s">
        <v>59</v>
      </c>
      <c r="B27" s="1" t="s">
        <v>93</v>
      </c>
      <c r="C27" s="1" t="str">
        <f aca="false">MID(B27,FIND("R@1",B27)+4,5)</f>
        <v>0.143</v>
      </c>
      <c r="D27" s="1" t="str">
        <f aca="false">MID(B27,FIND("R@5",B27)+4,5)</f>
        <v>0.373</v>
      </c>
      <c r="E27" s="1" t="str">
        <f aca="false">MID(B27,FIND("R@10",B27)+5,5)</f>
        <v>0.524</v>
      </c>
      <c r="F27" s="3" t="n">
        <f aca="false">VALUE(MID(B27,FIND("(n=",B27)+3,FIND(")",B27,FIND("(n=",B27))-FIND("(n=",B27)-3))</f>
        <v>126</v>
      </c>
      <c r="G27" s="3" t="n">
        <f aca="false">VALUE(C27)</f>
        <v>0.143</v>
      </c>
      <c r="H27" s="3" t="n">
        <f aca="false">VALUE(D27)</f>
        <v>0.373</v>
      </c>
      <c r="I27" s="3" t="n">
        <f aca="false">VALUE(E27)</f>
        <v>0.524</v>
      </c>
    </row>
    <row r="28" customFormat="false" ht="15.75" hidden="false" customHeight="true" outlineLevel="0" collapsed="false">
      <c r="A28" s="1" t="s">
        <v>61</v>
      </c>
      <c r="B28" s="1" t="s">
        <v>94</v>
      </c>
      <c r="C28" s="1" t="str">
        <f aca="false">MID(B28,FIND("R@1",B28)+4,5)</f>
        <v>0.197</v>
      </c>
      <c r="D28" s="1" t="str">
        <f aca="false">MID(B28,FIND("R@5",B28)+4,5)</f>
        <v>0.423</v>
      </c>
      <c r="E28" s="1" t="str">
        <f aca="false">MID(B28,FIND("R@10",B28)+5,5)</f>
        <v>0.592</v>
      </c>
      <c r="F28" s="3" t="n">
        <f aca="false">VALUE(MID(B28,FIND("(n=",B28)+3,FIND(")",B28,FIND("(n=",B28))-FIND("(n=",B28)-3))</f>
        <v>71</v>
      </c>
      <c r="G28" s="3" t="n">
        <f aca="false">VALUE(C28)</f>
        <v>0.197</v>
      </c>
      <c r="H28" s="3" t="n">
        <f aca="false">VALUE(D28)</f>
        <v>0.423</v>
      </c>
      <c r="I28" s="3" t="n">
        <f aca="false">VALUE(E28)</f>
        <v>0.592</v>
      </c>
    </row>
    <row r="29" customFormat="false" ht="15.75" hidden="false" customHeight="true" outlineLevel="0" collapsed="false">
      <c r="A29" s="1" t="s">
        <v>63</v>
      </c>
      <c r="B29" s="1" t="s">
        <v>95</v>
      </c>
      <c r="C29" s="1" t="str">
        <f aca="false">MID(B29,FIND("R@1",B29)+4,5)</f>
        <v>0.094</v>
      </c>
      <c r="D29" s="1" t="str">
        <f aca="false">MID(B29,FIND("R@5",B29)+4,5)</f>
        <v>0.266</v>
      </c>
      <c r="E29" s="1" t="str">
        <f aca="false">MID(B29,FIND("R@10",B29)+5,5)</f>
        <v>0.297</v>
      </c>
      <c r="F29" s="3" t="n">
        <f aca="false">VALUE(MID(B29,FIND("(n=",B29)+3,FIND(")",B29,FIND("(n=",B29))-FIND("(n=",B29)-3))</f>
        <v>64</v>
      </c>
      <c r="G29" s="3" t="n">
        <f aca="false">VALUE(C29)</f>
        <v>0.094</v>
      </c>
      <c r="H29" s="3" t="n">
        <f aca="false">VALUE(D29)</f>
        <v>0.266</v>
      </c>
      <c r="I29" s="3" t="n">
        <f aca="false">VALUE(E29)</f>
        <v>0.297</v>
      </c>
    </row>
    <row r="30" customFormat="false" ht="15.75" hidden="false" customHeight="true" outlineLevel="0" collapsed="false">
      <c r="A30" s="1" t="s">
        <v>65</v>
      </c>
      <c r="B30" s="1" t="s">
        <v>96</v>
      </c>
      <c r="C30" s="1" t="str">
        <f aca="false">MID(B30,FIND("R@1",B30)+4,5)</f>
        <v>0.069</v>
      </c>
      <c r="D30" s="1" t="str">
        <f aca="false">MID(B30,FIND("R@5",B30)+4,5)</f>
        <v>0.264</v>
      </c>
      <c r="E30" s="1" t="str">
        <f aca="false">MID(B30,FIND("R@10",B30)+5,5)</f>
        <v>0.403</v>
      </c>
      <c r="F30" s="3" t="n">
        <f aca="false">VALUE(MID(B30,FIND("(n=",B30)+3,FIND(")",B30,FIND("(n=",B30))-FIND("(n=",B30)-3))</f>
        <v>72</v>
      </c>
      <c r="G30" s="3" t="n">
        <f aca="false">VALUE(C30)</f>
        <v>0.069</v>
      </c>
      <c r="H30" s="3" t="n">
        <f aca="false">VALUE(D30)</f>
        <v>0.264</v>
      </c>
      <c r="I30" s="3" t="n">
        <f aca="false">VALUE(E30)</f>
        <v>0.403</v>
      </c>
    </row>
    <row r="33" customFormat="false" ht="15.75" hidden="false" customHeight="true" outlineLevel="0" collapsed="false">
      <c r="A33" s="1" t="s">
        <v>67</v>
      </c>
    </row>
    <row r="34" customFormat="false" ht="15.75" hidden="false" customHeight="true" outlineLevel="0" collapsed="false">
      <c r="A34" s="1" t="s">
        <v>2</v>
      </c>
      <c r="B34" s="1" t="n">
        <v>0.1715</v>
      </c>
    </row>
    <row r="35" customFormat="false" ht="15.75" hidden="false" customHeight="true" outlineLevel="0" collapsed="false">
      <c r="A35" s="1" t="s">
        <v>3</v>
      </c>
      <c r="B35" s="1" t="n">
        <v>0.4131</v>
      </c>
    </row>
    <row r="36" customFormat="false" ht="15.75" hidden="false" customHeight="true" outlineLevel="0" collapsed="false">
      <c r="A36" s="1" t="s">
        <v>4</v>
      </c>
      <c r="B36" s="1" t="n">
        <v>0.5235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28.67"/>
    <col collapsed="false" customWidth="true" hidden="false" outlineLevel="0" max="2" min="2" style="1" width="56.16"/>
    <col collapsed="false" customWidth="true" hidden="false" outlineLevel="0" max="3" min="3" style="1" width="49"/>
    <col collapsed="false" customWidth="true" hidden="false" outlineLevel="0" max="9" min="6" style="1" width="14"/>
  </cols>
  <sheetData>
    <row r="1" customFormat="false" ht="15.75" hidden="false" customHeight="true" outlineLevel="0" collapsed="false"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.75" hidden="false" customHeight="true" outlineLevel="0" collapsed="false">
      <c r="A2" s="1" t="s">
        <v>9</v>
      </c>
      <c r="B2" s="1" t="s">
        <v>97</v>
      </c>
      <c r="C2" s="1" t="str">
        <f aca="false">MID(B2,FIND("R@1",B2)+4,5)</f>
        <v>0.234</v>
      </c>
      <c r="D2" s="1" t="str">
        <f aca="false">MID(B2,FIND("R@5",B2)+4,5)</f>
        <v>0.375</v>
      </c>
      <c r="E2" s="1" t="str">
        <f aca="false">MID(B2,FIND("R@10",B2)+5,5)</f>
        <v>0.469</v>
      </c>
      <c r="F2" s="3" t="n">
        <f aca="false">VALUE(MID(B2,FIND("(n=",B2)+3,FIND(")",B2,FIND("(n=",B2))-FIND("(n=",B2)-3))</f>
        <v>64</v>
      </c>
      <c r="G2" s="3" t="n">
        <f aca="false">VALUE(C2)</f>
        <v>0.234</v>
      </c>
      <c r="H2" s="3" t="n">
        <f aca="false">VALUE(D2)</f>
        <v>0.375</v>
      </c>
      <c r="I2" s="3" t="n">
        <f aca="false">VALUE(E2)</f>
        <v>0.469</v>
      </c>
    </row>
    <row r="3" customFormat="false" ht="15.75" hidden="false" customHeight="true" outlineLevel="0" collapsed="false">
      <c r="A3" s="1" t="s">
        <v>11</v>
      </c>
      <c r="B3" s="1" t="s">
        <v>98</v>
      </c>
      <c r="C3" s="1" t="str">
        <f aca="false">MID(B3,FIND("R@1",B3)+4,5)</f>
        <v>0.129</v>
      </c>
      <c r="D3" s="1" t="str">
        <f aca="false">MID(B3,FIND("R@5",B3)+4,5)</f>
        <v>0.400</v>
      </c>
      <c r="E3" s="1" t="str">
        <f aca="false">MID(B3,FIND("R@10",B3)+5,5)</f>
        <v>0.518</v>
      </c>
      <c r="F3" s="3" t="n">
        <f aca="false">VALUE(MID(B3,FIND("(n=",B3)+3,FIND(")",B3,FIND("(n=",B3))-FIND("(n=",B3)-3))</f>
        <v>85</v>
      </c>
      <c r="G3" s="3" t="n">
        <f aca="false">VALUE(C3)</f>
        <v>0.129</v>
      </c>
      <c r="H3" s="3" t="n">
        <f aca="false">VALUE(D3)</f>
        <v>0.4</v>
      </c>
      <c r="I3" s="3" t="n">
        <f aca="false">VALUE(E3)</f>
        <v>0.518</v>
      </c>
    </row>
    <row r="4" customFormat="false" ht="15.75" hidden="false" customHeight="true" outlineLevel="0" collapsed="false">
      <c r="A4" s="1" t="s">
        <v>13</v>
      </c>
      <c r="B4" s="1" t="s">
        <v>99</v>
      </c>
      <c r="C4" s="1" t="str">
        <f aca="false">MID(B4,FIND("R@1",B4)+4,5)</f>
        <v>0.070</v>
      </c>
      <c r="D4" s="1" t="str">
        <f aca="false">MID(B4,FIND("R@5",B4)+4,5)</f>
        <v>0.254</v>
      </c>
      <c r="E4" s="1" t="str">
        <f aca="false">MID(B4,FIND("R@10",B4)+5,5)</f>
        <v>0.338</v>
      </c>
      <c r="F4" s="3" t="n">
        <f aca="false">VALUE(MID(B4,FIND("(n=",B4)+3,FIND(")",B4,FIND("(n=",B4))-FIND("(n=",B4)-3))</f>
        <v>71</v>
      </c>
      <c r="G4" s="3" t="n">
        <f aca="false">VALUE(C4)</f>
        <v>0.07</v>
      </c>
      <c r="H4" s="3" t="n">
        <f aca="false">VALUE(D4)</f>
        <v>0.254</v>
      </c>
      <c r="I4" s="3" t="n">
        <f aca="false">VALUE(E4)</f>
        <v>0.338</v>
      </c>
    </row>
    <row r="5" customFormat="false" ht="15.75" hidden="false" customHeight="true" outlineLevel="0" collapsed="false">
      <c r="A5" s="1" t="s">
        <v>15</v>
      </c>
      <c r="B5" s="1" t="s">
        <v>100</v>
      </c>
      <c r="C5" s="1" t="str">
        <f aca="false">MID(B5,FIND("R@1",B5)+4,5)</f>
        <v>0.049</v>
      </c>
      <c r="D5" s="1" t="str">
        <f aca="false">MID(B5,FIND("R@5",B5)+4,5)</f>
        <v>0.128</v>
      </c>
      <c r="E5" s="1" t="str">
        <f aca="false">MID(B5,FIND("R@10",B5)+5,5)</f>
        <v>0.188</v>
      </c>
      <c r="F5" s="3" t="n">
        <f aca="false">VALUE(MID(B5,FIND("(n=",B5)+3,FIND(")",B5,FIND("(n=",B5))-FIND("(n=",B5)-3))</f>
        <v>963</v>
      </c>
      <c r="G5" s="3" t="n">
        <f aca="false">VALUE(C5)</f>
        <v>0.049</v>
      </c>
      <c r="H5" s="3" t="n">
        <f aca="false">VALUE(D5)</f>
        <v>0.128</v>
      </c>
      <c r="I5" s="3" t="n">
        <f aca="false">VALUE(E5)</f>
        <v>0.188</v>
      </c>
    </row>
    <row r="6" customFormat="false" ht="15.75" hidden="false" customHeight="true" outlineLevel="0" collapsed="false">
      <c r="A6" s="1" t="s">
        <v>17</v>
      </c>
      <c r="B6" s="1" t="s">
        <v>101</v>
      </c>
      <c r="C6" s="1" t="str">
        <f aca="false">MID(B6,FIND("R@1",B6)+4,5)</f>
        <v>0.213</v>
      </c>
      <c r="D6" s="1" t="str">
        <f aca="false">MID(B6,FIND("R@5",B6)+4,5)</f>
        <v>0.457</v>
      </c>
      <c r="E6" s="1" t="str">
        <f aca="false">MID(B6,FIND("R@10",B6)+5,5)</f>
        <v>0.563</v>
      </c>
      <c r="F6" s="3" t="n">
        <f aca="false">VALUE(MID(B6,FIND("(n=",B6)+3,FIND(")",B6,FIND("(n=",B6))-FIND("(n=",B6)-3))</f>
        <v>923</v>
      </c>
      <c r="G6" s="3" t="n">
        <f aca="false">VALUE(C6)</f>
        <v>0.213</v>
      </c>
      <c r="H6" s="3" t="n">
        <f aca="false">VALUE(D6)</f>
        <v>0.457</v>
      </c>
      <c r="I6" s="3" t="n">
        <f aca="false">VALUE(E6)</f>
        <v>0.563</v>
      </c>
    </row>
    <row r="7" customFormat="false" ht="15.75" hidden="false" customHeight="true" outlineLevel="0" collapsed="false">
      <c r="A7" s="1" t="s">
        <v>19</v>
      </c>
      <c r="B7" s="1" t="s">
        <v>102</v>
      </c>
      <c r="C7" s="1" t="str">
        <f aca="false">MID(B7,FIND("R@1",B7)+4,5)</f>
        <v>0.224</v>
      </c>
      <c r="D7" s="1" t="str">
        <f aca="false">MID(B7,FIND("R@5",B7)+4,5)</f>
        <v>0.582</v>
      </c>
      <c r="E7" s="1" t="str">
        <f aca="false">MID(B7,FIND("R@10",B7)+5,5)</f>
        <v>0.731</v>
      </c>
      <c r="F7" s="3" t="n">
        <f aca="false">VALUE(MID(B7,FIND("(n=",B7)+3,FIND(")",B7,FIND("(n=",B7))-FIND("(n=",B7)-3))</f>
        <v>67</v>
      </c>
      <c r="G7" s="3" t="n">
        <f aca="false">VALUE(C7)</f>
        <v>0.224</v>
      </c>
      <c r="H7" s="3" t="n">
        <f aca="false">VALUE(D7)</f>
        <v>0.582</v>
      </c>
      <c r="I7" s="3" t="n">
        <f aca="false">VALUE(E7)</f>
        <v>0.731</v>
      </c>
    </row>
    <row r="8" customFormat="false" ht="15.75" hidden="false" customHeight="true" outlineLevel="0" collapsed="false">
      <c r="A8" s="1" t="s">
        <v>21</v>
      </c>
      <c r="B8" s="1" t="s">
        <v>103</v>
      </c>
      <c r="C8" s="1" t="str">
        <f aca="false">MID(B8,FIND("R@1",B8)+4,5)</f>
        <v>0.026</v>
      </c>
      <c r="D8" s="1" t="str">
        <f aca="false">MID(B8,FIND("R@5",B8)+4,5)</f>
        <v>0.072</v>
      </c>
      <c r="E8" s="1" t="str">
        <f aca="false">MID(B8,FIND("R@10",B8)+5,5)</f>
        <v>0.079</v>
      </c>
      <c r="F8" s="3" t="n">
        <f aca="false">VALUE(MID(B8,FIND("(n=",B8)+3,FIND(")",B8,FIND("(n=",B8))-FIND("(n=",B8)-3))</f>
        <v>152</v>
      </c>
      <c r="G8" s="3" t="n">
        <f aca="false">VALUE(C8)</f>
        <v>0.026</v>
      </c>
      <c r="H8" s="3" t="n">
        <f aca="false">VALUE(D8)</f>
        <v>0.072</v>
      </c>
      <c r="I8" s="3" t="n">
        <f aca="false">VALUE(E8)</f>
        <v>0.079</v>
      </c>
    </row>
    <row r="9" customFormat="false" ht="15.75" hidden="false" customHeight="true" outlineLevel="0" collapsed="false">
      <c r="A9" s="1" t="s">
        <v>23</v>
      </c>
      <c r="B9" s="1" t="s">
        <v>104</v>
      </c>
      <c r="C9" s="1" t="str">
        <f aca="false">MID(B9,FIND("R@1",B9)+4,5)</f>
        <v>0.111</v>
      </c>
      <c r="D9" s="1" t="str">
        <f aca="false">MID(B9,FIND("R@5",B9)+4,5)</f>
        <v>0.268</v>
      </c>
      <c r="E9" s="1" t="str">
        <f aca="false">MID(B9,FIND("R@10",B9)+5,5)</f>
        <v>0.373</v>
      </c>
      <c r="F9" s="3" t="n">
        <f aca="false">VALUE(MID(B9,FIND("(n=",B9)+3,FIND(")",B9,FIND("(n=",B9))-FIND("(n=",B9)-3))</f>
        <v>306</v>
      </c>
      <c r="G9" s="3" t="n">
        <f aca="false">VALUE(C9)</f>
        <v>0.111</v>
      </c>
      <c r="H9" s="3" t="n">
        <f aca="false">VALUE(D9)</f>
        <v>0.268</v>
      </c>
      <c r="I9" s="3" t="n">
        <f aca="false">VALUE(E9)</f>
        <v>0.373</v>
      </c>
    </row>
    <row r="10" customFormat="false" ht="15.75" hidden="false" customHeight="true" outlineLevel="0" collapsed="false">
      <c r="A10" s="1" t="s">
        <v>25</v>
      </c>
      <c r="B10" s="1" t="s">
        <v>105</v>
      </c>
      <c r="C10" s="1" t="str">
        <f aca="false">MID(B10,FIND("R@1",B10)+4,5)</f>
        <v>0.250</v>
      </c>
      <c r="D10" s="1" t="str">
        <f aca="false">MID(B10,FIND("R@5",B10)+4,5)</f>
        <v>0.474</v>
      </c>
      <c r="E10" s="1" t="str">
        <f aca="false">MID(B10,FIND("R@10",B10)+5,5)</f>
        <v>0.566</v>
      </c>
      <c r="F10" s="3" t="n">
        <f aca="false">VALUE(MID(B10,FIND("(n=",B10)+3,FIND(")",B10,FIND("(n=",B10))-FIND("(n=",B10)-3))</f>
        <v>76</v>
      </c>
      <c r="G10" s="3" t="n">
        <f aca="false">VALUE(C10)</f>
        <v>0.25</v>
      </c>
      <c r="H10" s="3" t="n">
        <f aca="false">VALUE(D10)</f>
        <v>0.474</v>
      </c>
      <c r="I10" s="3" t="n">
        <f aca="false">VALUE(E10)</f>
        <v>0.566</v>
      </c>
    </row>
    <row r="11" customFormat="false" ht="15.75" hidden="false" customHeight="true" outlineLevel="0" collapsed="false">
      <c r="A11" s="1" t="s">
        <v>27</v>
      </c>
      <c r="B11" s="1" t="s">
        <v>106</v>
      </c>
      <c r="C11" s="1" t="str">
        <f aca="false">MID(B11,FIND("R@1",B11)+4,5)</f>
        <v>0.155</v>
      </c>
      <c r="D11" s="1" t="str">
        <f aca="false">MID(B11,FIND("R@5",B11)+4,5)</f>
        <v>0.488</v>
      </c>
      <c r="E11" s="1" t="str">
        <f aca="false">MID(B11,FIND("R@10",B11)+5,5)</f>
        <v>0.619</v>
      </c>
      <c r="F11" s="3" t="n">
        <f aca="false">VALUE(MID(B11,FIND("(n=",B11)+3,FIND(")",B11,FIND("(n=",B11))-FIND("(n=",B11)-3))</f>
        <v>84</v>
      </c>
      <c r="G11" s="3" t="n">
        <f aca="false">VALUE(C11)</f>
        <v>0.155</v>
      </c>
      <c r="H11" s="3" t="n">
        <f aca="false">VALUE(D11)</f>
        <v>0.488</v>
      </c>
      <c r="I11" s="3" t="n">
        <f aca="false">VALUE(E11)</f>
        <v>0.619</v>
      </c>
    </row>
    <row r="12" customFormat="false" ht="15.75" hidden="false" customHeight="true" outlineLevel="0" collapsed="false">
      <c r="A12" s="1" t="s">
        <v>29</v>
      </c>
      <c r="B12" s="1" t="s">
        <v>107</v>
      </c>
      <c r="C12" s="1" t="str">
        <f aca="false">MID(B12,FIND("R@1",B12)+4,5)</f>
        <v>0.111</v>
      </c>
      <c r="D12" s="1" t="str">
        <f aca="false">MID(B12,FIND("R@5",B12)+4,5)</f>
        <v>0.187</v>
      </c>
      <c r="E12" s="1" t="str">
        <f aca="false">MID(B12,FIND("R@10",B12)+5,5)</f>
        <v>0.263</v>
      </c>
      <c r="F12" s="3" t="n">
        <f aca="false">VALUE(MID(B12,FIND("(n=",B12)+3,FIND(")",B12,FIND("(n=",B12))-FIND("(n=",B12)-3))</f>
        <v>198</v>
      </c>
      <c r="G12" s="3" t="n">
        <f aca="false">VALUE(C12)</f>
        <v>0.111</v>
      </c>
      <c r="H12" s="3" t="n">
        <f aca="false">VALUE(D12)</f>
        <v>0.187</v>
      </c>
      <c r="I12" s="3" t="n">
        <f aca="false">VALUE(E12)</f>
        <v>0.263</v>
      </c>
    </row>
    <row r="13" customFormat="false" ht="15.75" hidden="false" customHeight="true" outlineLevel="0" collapsed="false">
      <c r="A13" s="1" t="s">
        <v>31</v>
      </c>
      <c r="B13" s="1" t="s">
        <v>108</v>
      </c>
      <c r="C13" s="1" t="str">
        <f aca="false">MID(B13,FIND("R@1",B13)+4,5)</f>
        <v>0.178</v>
      </c>
      <c r="D13" s="1" t="str">
        <f aca="false">MID(B13,FIND("R@5",B13)+4,5)</f>
        <v>0.368</v>
      </c>
      <c r="E13" s="1" t="str">
        <f aca="false">MID(B13,FIND("R@10",B13)+5,5)</f>
        <v>0.485</v>
      </c>
      <c r="F13" s="3" t="n">
        <f aca="false">VALUE(MID(B13,FIND("(n=",B13)+3,FIND(")",B13,FIND("(n=",B13))-FIND("(n=",B13)-3))</f>
        <v>163</v>
      </c>
      <c r="G13" s="3" t="n">
        <f aca="false">VALUE(C13)</f>
        <v>0.178</v>
      </c>
      <c r="H13" s="3" t="n">
        <f aca="false">VALUE(D13)</f>
        <v>0.368</v>
      </c>
      <c r="I13" s="3" t="n">
        <f aca="false">VALUE(E13)</f>
        <v>0.485</v>
      </c>
    </row>
    <row r="14" customFormat="false" ht="15.75" hidden="false" customHeight="true" outlineLevel="0" collapsed="false">
      <c r="A14" s="1" t="s">
        <v>33</v>
      </c>
      <c r="B14" s="1" t="s">
        <v>109</v>
      </c>
      <c r="C14" s="1" t="str">
        <f aca="false">MID(B14,FIND("R@1",B14)+4,5)</f>
        <v>0.058</v>
      </c>
      <c r="D14" s="1" t="str">
        <f aca="false">MID(B14,FIND("R@5",B14)+4,5)</f>
        <v>0.184</v>
      </c>
      <c r="E14" s="1" t="str">
        <f aca="false">MID(B14,FIND("R@10",B14)+5,5)</f>
        <v>0.260</v>
      </c>
      <c r="F14" s="3" t="n">
        <f aca="false">VALUE(MID(B14,FIND("(n=",B14)+3,FIND(")",B14,FIND("(n=",B14))-FIND("(n=",B14)-3))</f>
        <v>277</v>
      </c>
      <c r="G14" s="3" t="n">
        <f aca="false">VALUE(C14)</f>
        <v>0.058</v>
      </c>
      <c r="H14" s="3" t="n">
        <f aca="false">VALUE(D14)</f>
        <v>0.184</v>
      </c>
      <c r="I14" s="3" t="n">
        <f aca="false">VALUE(E14)</f>
        <v>0.26</v>
      </c>
    </row>
    <row r="15" customFormat="false" ht="15.75" hidden="false" customHeight="true" outlineLevel="0" collapsed="false">
      <c r="A15" s="1" t="s">
        <v>35</v>
      </c>
      <c r="B15" s="1" t="s">
        <v>110</v>
      </c>
      <c r="C15" s="1" t="str">
        <f aca="false">MID(B15,FIND("R@1",B15)+4,5)</f>
        <v>0.293</v>
      </c>
      <c r="D15" s="1" t="str">
        <f aca="false">MID(B15,FIND("R@5",B15)+4,5)</f>
        <v>0.870</v>
      </c>
      <c r="E15" s="1" t="str">
        <f aca="false">MID(B15,FIND("R@10",B15)+5,5)</f>
        <v>0.902</v>
      </c>
      <c r="F15" s="3" t="n">
        <f aca="false">VALUE(MID(B15,FIND("(n=",B15)+3,FIND(")",B15,FIND("(n=",B15))-FIND("(n=",B15)-3))</f>
        <v>92</v>
      </c>
      <c r="G15" s="3" t="n">
        <f aca="false">VALUE(C15)</f>
        <v>0.293</v>
      </c>
      <c r="H15" s="3" t="n">
        <f aca="false">VALUE(D15)</f>
        <v>0.87</v>
      </c>
      <c r="I15" s="3" t="n">
        <f aca="false">VALUE(E15)</f>
        <v>0.902</v>
      </c>
    </row>
    <row r="16" customFormat="false" ht="15.75" hidden="false" customHeight="true" outlineLevel="0" collapsed="false">
      <c r="A16" s="1" t="s">
        <v>37</v>
      </c>
      <c r="B16" s="1" t="s">
        <v>111</v>
      </c>
      <c r="C16" s="1" t="str">
        <f aca="false">MID(B16,FIND("R@1",B16)+4,5)</f>
        <v>0.047</v>
      </c>
      <c r="D16" s="1" t="str">
        <f aca="false">MID(B16,FIND("R@5",B16)+4,5)</f>
        <v>0.172</v>
      </c>
      <c r="E16" s="1" t="str">
        <f aca="false">MID(B16,FIND("R@10",B16)+5,5)</f>
        <v>0.281</v>
      </c>
      <c r="F16" s="3" t="n">
        <f aca="false">VALUE(MID(B16,FIND("(n=",B16)+3,FIND(")",B16,FIND("(n=",B16))-FIND("(n=",B16)-3))</f>
        <v>64</v>
      </c>
      <c r="G16" s="3" t="n">
        <f aca="false">VALUE(C16)</f>
        <v>0.047</v>
      </c>
      <c r="H16" s="3" t="n">
        <f aca="false">VALUE(D16)</f>
        <v>0.172</v>
      </c>
      <c r="I16" s="3" t="n">
        <f aca="false">VALUE(E16)</f>
        <v>0.281</v>
      </c>
    </row>
    <row r="17" customFormat="false" ht="15.75" hidden="false" customHeight="true" outlineLevel="0" collapsed="false">
      <c r="A17" s="1" t="s">
        <v>39</v>
      </c>
      <c r="B17" s="1" t="s">
        <v>112</v>
      </c>
      <c r="C17" s="1" t="str">
        <f aca="false">MID(B17,FIND("R@1",B17)+4,5)</f>
        <v>0.090</v>
      </c>
      <c r="D17" s="1" t="str">
        <f aca="false">MID(B17,FIND("R@5",B17)+4,5)</f>
        <v>0.179</v>
      </c>
      <c r="E17" s="1" t="str">
        <f aca="false">MID(B17,FIND("R@10",B17)+5,5)</f>
        <v>0.239</v>
      </c>
      <c r="F17" s="3" t="n">
        <f aca="false">VALUE(MID(B17,FIND("(n=",B17)+3,FIND(")",B17,FIND("(n=",B17))-FIND("(n=",B17)-3))</f>
        <v>67</v>
      </c>
      <c r="G17" s="3" t="n">
        <f aca="false">VALUE(C17)</f>
        <v>0.09</v>
      </c>
      <c r="H17" s="3" t="n">
        <f aca="false">VALUE(D17)</f>
        <v>0.179</v>
      </c>
      <c r="I17" s="3" t="n">
        <f aca="false">VALUE(E17)</f>
        <v>0.239</v>
      </c>
    </row>
    <row r="18" customFormat="false" ht="15.75" hidden="false" customHeight="true" outlineLevel="0" collapsed="false">
      <c r="A18" s="1" t="s">
        <v>41</v>
      </c>
      <c r="B18" s="1" t="s">
        <v>113</v>
      </c>
      <c r="C18" s="1" t="str">
        <f aca="false">MID(B18,FIND("R@1",B18)+4,5)</f>
        <v>0.018</v>
      </c>
      <c r="D18" s="1" t="str">
        <f aca="false">MID(B18,FIND("R@5",B18)+4,5)</f>
        <v>0.097</v>
      </c>
      <c r="E18" s="1" t="str">
        <f aca="false">MID(B18,FIND("R@10",B18)+5,5)</f>
        <v>0.133</v>
      </c>
      <c r="F18" s="3" t="n">
        <f aca="false">VALUE(MID(B18,FIND("(n=",B18)+3,FIND(")",B18,FIND("(n=",B18))-FIND("(n=",B18)-3))</f>
        <v>165</v>
      </c>
      <c r="G18" s="3" t="n">
        <f aca="false">VALUE(C18)</f>
        <v>0.018</v>
      </c>
      <c r="H18" s="3" t="n">
        <f aca="false">VALUE(D18)</f>
        <v>0.097</v>
      </c>
      <c r="I18" s="3" t="n">
        <f aca="false">VALUE(E18)</f>
        <v>0.133</v>
      </c>
    </row>
    <row r="19" customFormat="false" ht="15.75" hidden="false" customHeight="true" outlineLevel="0" collapsed="false">
      <c r="A19" s="1" t="s">
        <v>43</v>
      </c>
      <c r="B19" s="1" t="s">
        <v>114</v>
      </c>
      <c r="C19" s="1" t="str">
        <f aca="false">MID(B19,FIND("R@1",B19)+4,5)</f>
        <v>0.265</v>
      </c>
      <c r="D19" s="1" t="str">
        <f aca="false">MID(B19,FIND("R@5",B19)+4,5)</f>
        <v>0.535</v>
      </c>
      <c r="E19" s="1" t="str">
        <f aca="false">MID(B19,FIND("R@10",B19)+5,5)</f>
        <v>0.638</v>
      </c>
      <c r="F19" s="3" t="n">
        <f aca="false">VALUE(MID(B19,FIND("(n=",B19)+3,FIND(")",B19,FIND("(n=",B19))-FIND("(n=",B19)-3))</f>
        <v>185</v>
      </c>
      <c r="G19" s="3" t="n">
        <f aca="false">VALUE(C19)</f>
        <v>0.265</v>
      </c>
      <c r="H19" s="3" t="n">
        <f aca="false">VALUE(D19)</f>
        <v>0.535</v>
      </c>
      <c r="I19" s="3" t="n">
        <f aca="false">VALUE(E19)</f>
        <v>0.638</v>
      </c>
    </row>
    <row r="20" customFormat="false" ht="15.75" hidden="false" customHeight="true" outlineLevel="0" collapsed="false">
      <c r="A20" s="1" t="s">
        <v>45</v>
      </c>
      <c r="B20" s="1" t="s">
        <v>115</v>
      </c>
      <c r="C20" s="1" t="str">
        <f aca="false">MID(B20,FIND("R@1",B20)+4,5)</f>
        <v>0.081</v>
      </c>
      <c r="D20" s="1" t="str">
        <f aca="false">MID(B20,FIND("R@5",B20)+4,5)</f>
        <v>0.272</v>
      </c>
      <c r="E20" s="1" t="str">
        <f aca="false">MID(B20,FIND("R@10",B20)+5,5)</f>
        <v>0.368</v>
      </c>
      <c r="F20" s="3" t="n">
        <f aca="false">VALUE(MID(B20,FIND("(n=",B20)+3,FIND(")",B20,FIND("(n=",B20))-FIND("(n=",B20)-3))</f>
        <v>136</v>
      </c>
      <c r="G20" s="3" t="n">
        <f aca="false">VALUE(C20)</f>
        <v>0.081</v>
      </c>
      <c r="H20" s="3" t="n">
        <f aca="false">VALUE(D20)</f>
        <v>0.272</v>
      </c>
      <c r="I20" s="3" t="n">
        <f aca="false">VALUE(E20)</f>
        <v>0.368</v>
      </c>
    </row>
    <row r="21" customFormat="false" ht="15.75" hidden="false" customHeight="true" outlineLevel="0" collapsed="false">
      <c r="A21" s="1" t="s">
        <v>47</v>
      </c>
      <c r="B21" s="1" t="s">
        <v>116</v>
      </c>
      <c r="C21" s="1" t="str">
        <f aca="false">MID(B21,FIND("R@1",B21)+4,5)</f>
        <v>0.102</v>
      </c>
      <c r="D21" s="1" t="str">
        <f aca="false">MID(B21,FIND("R@5",B21)+4,5)</f>
        <v>0.263</v>
      </c>
      <c r="E21" s="1" t="str">
        <f aca="false">MID(B21,FIND("R@10",B21)+5,5)</f>
        <v>0.372</v>
      </c>
      <c r="F21" s="3" t="n">
        <f aca="false">VALUE(MID(B21,FIND("(n=",B21)+3,FIND(")",B21,FIND("(n=",B21))-FIND("(n=",B21)-3))</f>
        <v>137</v>
      </c>
      <c r="G21" s="3" t="n">
        <f aca="false">VALUE(C21)</f>
        <v>0.102</v>
      </c>
      <c r="H21" s="3" t="n">
        <f aca="false">VALUE(D21)</f>
        <v>0.263</v>
      </c>
      <c r="I21" s="3" t="n">
        <f aca="false">VALUE(E21)</f>
        <v>0.372</v>
      </c>
    </row>
    <row r="22" customFormat="false" ht="15.75" hidden="false" customHeight="true" outlineLevel="0" collapsed="false">
      <c r="A22" s="1" t="s">
        <v>49</v>
      </c>
      <c r="B22" s="1" t="s">
        <v>117</v>
      </c>
      <c r="C22" s="1" t="str">
        <f aca="false">MID(B22,FIND("R@1",B22)+4,5)</f>
        <v>0.115</v>
      </c>
      <c r="D22" s="1" t="str">
        <f aca="false">MID(B22,FIND("R@5",B22)+4,5)</f>
        <v>0.287</v>
      </c>
      <c r="E22" s="1" t="str">
        <f aca="false">MID(B22,FIND("R@10",B22)+5,5)</f>
        <v>0.483</v>
      </c>
      <c r="F22" s="3" t="n">
        <f aca="false">VALUE(MID(B22,FIND("(n=",B22)+3,FIND(")",B22,FIND("(n=",B22))-FIND("(n=",B22)-3))</f>
        <v>87</v>
      </c>
      <c r="G22" s="3" t="n">
        <f aca="false">VALUE(C22)</f>
        <v>0.115</v>
      </c>
      <c r="H22" s="3" t="n">
        <f aca="false">VALUE(D22)</f>
        <v>0.287</v>
      </c>
      <c r="I22" s="3" t="n">
        <f aca="false">VALUE(E22)</f>
        <v>0.483</v>
      </c>
    </row>
    <row r="23" customFormat="false" ht="15.75" hidden="false" customHeight="true" outlineLevel="0" collapsed="false">
      <c r="A23" s="1" t="s">
        <v>51</v>
      </c>
      <c r="B23" s="1" t="s">
        <v>118</v>
      </c>
      <c r="C23" s="1" t="str">
        <f aca="false">MID(B23,FIND("R@1",B23)+4,5)</f>
        <v>0.101</v>
      </c>
      <c r="D23" s="1" t="str">
        <f aca="false">MID(B23,FIND("R@5",B23)+4,5)</f>
        <v>0.258</v>
      </c>
      <c r="E23" s="1" t="str">
        <f aca="false">MID(B23,FIND("R@10",B23)+5,5)</f>
        <v>0.348</v>
      </c>
      <c r="F23" s="3" t="n">
        <f aca="false">VALUE(MID(B23,FIND("(n=",B23)+3,FIND(")",B23,FIND("(n=",B23))-FIND("(n=",B23)-3))</f>
        <v>89</v>
      </c>
      <c r="G23" s="3" t="n">
        <f aca="false">VALUE(C23)</f>
        <v>0.101</v>
      </c>
      <c r="H23" s="3" t="n">
        <f aca="false">VALUE(D23)</f>
        <v>0.258</v>
      </c>
      <c r="I23" s="3" t="n">
        <f aca="false">VALUE(E23)</f>
        <v>0.348</v>
      </c>
    </row>
    <row r="24" customFormat="false" ht="15.75" hidden="false" customHeight="true" outlineLevel="0" collapsed="false">
      <c r="A24" s="1" t="s">
        <v>53</v>
      </c>
      <c r="B24" s="1" t="s">
        <v>119</v>
      </c>
      <c r="C24" s="1" t="str">
        <f aca="false">MID(B24,FIND("R@1",B24)+4,5)</f>
        <v>0.075</v>
      </c>
      <c r="D24" s="1" t="str">
        <f aca="false">MID(B24,FIND("R@5",B24)+4,5)</f>
        <v>0.275</v>
      </c>
      <c r="E24" s="1" t="str">
        <f aca="false">MID(B24,FIND("R@10",B24)+5,5)</f>
        <v>0.425</v>
      </c>
      <c r="F24" s="3" t="n">
        <f aca="false">VALUE(MID(B24,FIND("(n=",B24)+3,FIND(")",B24,FIND("(n=",B24))-FIND("(n=",B24)-3))</f>
        <v>80</v>
      </c>
      <c r="G24" s="3" t="n">
        <f aca="false">VALUE(C24)</f>
        <v>0.075</v>
      </c>
      <c r="H24" s="3" t="n">
        <f aca="false">VALUE(D24)</f>
        <v>0.275</v>
      </c>
      <c r="I24" s="3" t="n">
        <f aca="false">VALUE(E24)</f>
        <v>0.425</v>
      </c>
    </row>
    <row r="25" customFormat="false" ht="15.75" hidden="false" customHeight="true" outlineLevel="0" collapsed="false">
      <c r="A25" s="1" t="s">
        <v>55</v>
      </c>
      <c r="B25" s="1" t="s">
        <v>120</v>
      </c>
      <c r="C25" s="1" t="str">
        <f aca="false">MID(B25,FIND("R@1",B25)+4,5)</f>
        <v>0.075</v>
      </c>
      <c r="D25" s="1" t="str">
        <f aca="false">MID(B25,FIND("R@5",B25)+4,5)</f>
        <v>0.246</v>
      </c>
      <c r="E25" s="1" t="str">
        <f aca="false">MID(B25,FIND("R@10",B25)+5,5)</f>
        <v>0.373</v>
      </c>
      <c r="F25" s="3" t="n">
        <f aca="false">VALUE(MID(B25,FIND("(n=",B25)+3,FIND(")",B25,FIND("(n=",B25))-FIND("(n=",B25)-3))</f>
        <v>134</v>
      </c>
      <c r="G25" s="3" t="n">
        <f aca="false">VALUE(C25)</f>
        <v>0.075</v>
      </c>
      <c r="H25" s="3" t="n">
        <f aca="false">VALUE(D25)</f>
        <v>0.246</v>
      </c>
      <c r="I25" s="3" t="n">
        <f aca="false">VALUE(E25)</f>
        <v>0.373</v>
      </c>
    </row>
    <row r="26" customFormat="false" ht="15.75" hidden="false" customHeight="true" outlineLevel="0" collapsed="false">
      <c r="A26" s="1" t="s">
        <v>57</v>
      </c>
      <c r="B26" s="1" t="s">
        <v>121</v>
      </c>
      <c r="C26" s="1" t="str">
        <f aca="false">MID(B26,FIND("R@1",B26)+4,5)</f>
        <v>0.071</v>
      </c>
      <c r="D26" s="1" t="str">
        <f aca="false">MID(B26,FIND("R@5",B26)+4,5)</f>
        <v>0.276</v>
      </c>
      <c r="E26" s="1" t="str">
        <f aca="false">MID(B26,FIND("R@10",B26)+5,5)</f>
        <v>0.306</v>
      </c>
      <c r="F26" s="3" t="n">
        <f aca="false">VALUE(MID(B26,FIND("(n=",B26)+3,FIND(")",B26,FIND("(n=",B26))-FIND("(n=",B26)-3))</f>
        <v>98</v>
      </c>
      <c r="G26" s="3" t="n">
        <f aca="false">VALUE(C26)</f>
        <v>0.071</v>
      </c>
      <c r="H26" s="3" t="n">
        <f aca="false">VALUE(D26)</f>
        <v>0.276</v>
      </c>
      <c r="I26" s="3" t="n">
        <f aca="false">VALUE(E26)</f>
        <v>0.306</v>
      </c>
    </row>
    <row r="27" customFormat="false" ht="15.75" hidden="false" customHeight="true" outlineLevel="0" collapsed="false">
      <c r="A27" s="1" t="s">
        <v>59</v>
      </c>
      <c r="B27" s="1" t="s">
        <v>122</v>
      </c>
      <c r="C27" s="1" t="str">
        <f aca="false">MID(B27,FIND("R@1",B27)+4,5)</f>
        <v>0.111</v>
      </c>
      <c r="D27" s="1" t="str">
        <f aca="false">MID(B27,FIND("R@5",B27)+4,5)</f>
        <v>0.317</v>
      </c>
      <c r="E27" s="1" t="str">
        <f aca="false">MID(B27,FIND("R@10",B27)+5,5)</f>
        <v>0.421</v>
      </c>
      <c r="F27" s="3" t="n">
        <f aca="false">VALUE(MID(B27,FIND("(n=",B27)+3,FIND(")",B27,FIND("(n=",B27))-FIND("(n=",B27)-3))</f>
        <v>126</v>
      </c>
      <c r="G27" s="3" t="n">
        <f aca="false">VALUE(C27)</f>
        <v>0.111</v>
      </c>
      <c r="H27" s="3" t="n">
        <f aca="false">VALUE(D27)</f>
        <v>0.317</v>
      </c>
      <c r="I27" s="3" t="n">
        <f aca="false">VALUE(E27)</f>
        <v>0.421</v>
      </c>
    </row>
    <row r="28" customFormat="false" ht="15.75" hidden="false" customHeight="true" outlineLevel="0" collapsed="false">
      <c r="A28" s="1" t="s">
        <v>61</v>
      </c>
      <c r="B28" s="1" t="s">
        <v>123</v>
      </c>
      <c r="C28" s="1" t="str">
        <f aca="false">MID(B28,FIND("R@1",B28)+4,5)</f>
        <v>0.225</v>
      </c>
      <c r="D28" s="1" t="str">
        <f aca="false">MID(B28,FIND("R@5",B28)+4,5)</f>
        <v>0.465</v>
      </c>
      <c r="E28" s="1" t="str">
        <f aca="false">MID(B28,FIND("R@10",B28)+5,5)</f>
        <v>0.577</v>
      </c>
      <c r="F28" s="3" t="n">
        <f aca="false">VALUE(MID(B28,FIND("(n=",B28)+3,FIND(")",B28,FIND("(n=",B28))-FIND("(n=",B28)-3))</f>
        <v>71</v>
      </c>
      <c r="G28" s="3" t="n">
        <f aca="false">VALUE(C28)</f>
        <v>0.225</v>
      </c>
      <c r="H28" s="3" t="n">
        <f aca="false">VALUE(D28)</f>
        <v>0.465</v>
      </c>
      <c r="I28" s="3" t="n">
        <f aca="false">VALUE(E28)</f>
        <v>0.577</v>
      </c>
    </row>
    <row r="29" customFormat="false" ht="15.75" hidden="false" customHeight="true" outlineLevel="0" collapsed="false">
      <c r="A29" s="1" t="s">
        <v>63</v>
      </c>
      <c r="B29" s="1" t="s">
        <v>124</v>
      </c>
      <c r="C29" s="1" t="str">
        <f aca="false">MID(B29,FIND("R@1",B29)+4,5)</f>
        <v>0.078</v>
      </c>
      <c r="D29" s="1" t="str">
        <f aca="false">MID(B29,FIND("R@5",B29)+4,5)</f>
        <v>0.172</v>
      </c>
      <c r="E29" s="1" t="str">
        <f aca="false">MID(B29,FIND("R@10",B29)+5,5)</f>
        <v>0.219</v>
      </c>
      <c r="F29" s="3" t="n">
        <f aca="false">VALUE(MID(B29,FIND("(n=",B29)+3,FIND(")",B29,FIND("(n=",B29))-FIND("(n=",B29)-3))</f>
        <v>64</v>
      </c>
      <c r="G29" s="3" t="n">
        <f aca="false">VALUE(C29)</f>
        <v>0.078</v>
      </c>
      <c r="H29" s="3" t="n">
        <f aca="false">VALUE(D29)</f>
        <v>0.172</v>
      </c>
      <c r="I29" s="3" t="n">
        <f aca="false">VALUE(E29)</f>
        <v>0.219</v>
      </c>
    </row>
    <row r="30" customFormat="false" ht="15.75" hidden="false" customHeight="true" outlineLevel="0" collapsed="false">
      <c r="A30" s="1" t="s">
        <v>65</v>
      </c>
      <c r="B30" s="1" t="s">
        <v>125</v>
      </c>
      <c r="C30" s="1" t="str">
        <f aca="false">MID(B30,FIND("R@1",B30)+4,5)</f>
        <v>0.056</v>
      </c>
      <c r="D30" s="1" t="str">
        <f aca="false">MID(B30,FIND("R@5",B30)+4,5)</f>
        <v>0.153</v>
      </c>
      <c r="E30" s="1" t="str">
        <f aca="false">MID(B30,FIND("R@10",B30)+5,5)</f>
        <v>0.236</v>
      </c>
      <c r="F30" s="3" t="n">
        <f aca="false">VALUE(MID(B30,FIND("(n=",B30)+3,FIND(")",B30,FIND("(n=",B30))-FIND("(n=",B30)-3))</f>
        <v>72</v>
      </c>
      <c r="G30" s="3" t="n">
        <f aca="false">VALUE(C30)</f>
        <v>0.056</v>
      </c>
      <c r="H30" s="3" t="n">
        <f aca="false">VALUE(D30)</f>
        <v>0.153</v>
      </c>
      <c r="I30" s="3" t="n">
        <f aca="false">VALUE(E30)</f>
        <v>0.236</v>
      </c>
    </row>
    <row r="32" customFormat="false" ht="19.5" hidden="false" customHeight="true" outlineLevel="0" collapsed="false">
      <c r="A32" s="5"/>
    </row>
    <row r="33" customFormat="false" ht="15.75" hidden="false" customHeight="true" outlineLevel="0" collapsed="false">
      <c r="A33" s="1" t="s">
        <v>67</v>
      </c>
    </row>
    <row r="34" customFormat="false" ht="15.75" hidden="false" customHeight="true" outlineLevel="0" collapsed="false">
      <c r="A34" s="1" t="s">
        <v>2</v>
      </c>
      <c r="B34" s="1" t="n">
        <v>0.1307</v>
      </c>
    </row>
    <row r="35" customFormat="false" ht="15.75" hidden="false" customHeight="true" outlineLevel="0" collapsed="false">
      <c r="A35" s="1" t="s">
        <v>3</v>
      </c>
      <c r="B35" s="1" t="n">
        <v>0.3112</v>
      </c>
    </row>
    <row r="36" customFormat="false" ht="15.75" hidden="false" customHeight="true" outlineLevel="0" collapsed="false">
      <c r="A36" s="1" t="s">
        <v>4</v>
      </c>
      <c r="B36" s="1" t="n">
        <v>0.4011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10.4921875" defaultRowHeight="15.75" zeroHeight="false" outlineLevelRow="0" outlineLevelCol="0"/>
  <cols>
    <col collapsed="false" customWidth="true" hidden="false" outlineLevel="0" max="1" min="1" style="1" width="28.67"/>
    <col collapsed="false" customWidth="true" hidden="false" outlineLevel="0" max="2" min="2" style="1" width="52"/>
    <col collapsed="false" customWidth="true" hidden="false" outlineLevel="0" max="9" min="6" style="1" width="14"/>
  </cols>
  <sheetData>
    <row r="1" customFormat="false" ht="15.75" hidden="false" customHeight="true" outlineLevel="0" collapsed="false"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.75" hidden="false" customHeight="true" outlineLevel="0" collapsed="false">
      <c r="A2" s="1" t="s">
        <v>9</v>
      </c>
      <c r="B2" s="1" t="s">
        <v>126</v>
      </c>
      <c r="C2" s="1" t="str">
        <f aca="false">MID(B2,FIND("R@1",B2)+4,5)</f>
        <v>0.141</v>
      </c>
      <c r="D2" s="1" t="str">
        <f aca="false">MID(B2,FIND("R@5",B2)+4,5)</f>
        <v>0.250</v>
      </c>
      <c r="E2" s="1" t="str">
        <f aca="false">MID(B2,FIND("R@10",B2)+5,5)</f>
        <v>0.359</v>
      </c>
      <c r="F2" s="3" t="n">
        <f aca="false">VALUE(MID(B2,FIND("(n=",B2)+3,FIND(")",B2,FIND("(n=",B2))-FIND("(n=",B2)-3))</f>
        <v>64</v>
      </c>
      <c r="G2" s="3" t="n">
        <f aca="false">VALUE(C2)</f>
        <v>0.141</v>
      </c>
      <c r="H2" s="3" t="n">
        <f aca="false">VALUE(D2)</f>
        <v>0.25</v>
      </c>
      <c r="I2" s="3" t="n">
        <f aca="false">VALUE(E2)</f>
        <v>0.359</v>
      </c>
    </row>
    <row r="3" customFormat="false" ht="15.75" hidden="false" customHeight="true" outlineLevel="0" collapsed="false">
      <c r="A3" s="1" t="s">
        <v>11</v>
      </c>
      <c r="B3" s="1" t="s">
        <v>127</v>
      </c>
      <c r="C3" s="1" t="str">
        <f aca="false">MID(B3,FIND("R@1",B3)+4,5)</f>
        <v>0.129</v>
      </c>
      <c r="D3" s="1" t="str">
        <f aca="false">MID(B3,FIND("R@5",B3)+4,5)</f>
        <v>0.259</v>
      </c>
      <c r="E3" s="1" t="str">
        <f aca="false">MID(B3,FIND("R@10",B3)+5,5)</f>
        <v>0.376</v>
      </c>
      <c r="F3" s="3" t="n">
        <f aca="false">VALUE(MID(B3,FIND("(n=",B3)+3,FIND(")",B3,FIND("(n=",B3))-FIND("(n=",B3)-3))</f>
        <v>85</v>
      </c>
      <c r="G3" s="3" t="n">
        <f aca="false">VALUE(C3)</f>
        <v>0.129</v>
      </c>
      <c r="H3" s="3" t="n">
        <f aca="false">VALUE(D3)</f>
        <v>0.259</v>
      </c>
      <c r="I3" s="3" t="n">
        <f aca="false">VALUE(E3)</f>
        <v>0.376</v>
      </c>
    </row>
    <row r="4" customFormat="false" ht="15.75" hidden="false" customHeight="true" outlineLevel="0" collapsed="false">
      <c r="A4" s="1" t="s">
        <v>13</v>
      </c>
      <c r="B4" s="1" t="s">
        <v>128</v>
      </c>
      <c r="C4" s="1" t="str">
        <f aca="false">MID(B4,FIND("R@1",B4)+4,5)</f>
        <v>0.099</v>
      </c>
      <c r="D4" s="1" t="str">
        <f aca="false">MID(B4,FIND("R@5",B4)+4,5)</f>
        <v>0.225</v>
      </c>
      <c r="E4" s="1" t="str">
        <f aca="false">MID(B4,FIND("R@10",B4)+5,5)</f>
        <v>0.268</v>
      </c>
      <c r="F4" s="3" t="n">
        <f aca="false">VALUE(MID(B4,FIND("(n=",B4)+3,FIND(")",B4,FIND("(n=",B4))-FIND("(n=",B4)-3))</f>
        <v>71</v>
      </c>
      <c r="G4" s="3" t="n">
        <f aca="false">VALUE(C4)</f>
        <v>0.099</v>
      </c>
      <c r="H4" s="3" t="n">
        <f aca="false">VALUE(D4)</f>
        <v>0.225</v>
      </c>
      <c r="I4" s="3" t="n">
        <f aca="false">VALUE(E4)</f>
        <v>0.268</v>
      </c>
    </row>
    <row r="5" customFormat="false" ht="15.75" hidden="false" customHeight="true" outlineLevel="0" collapsed="false">
      <c r="A5" s="1" t="s">
        <v>15</v>
      </c>
      <c r="B5" s="1" t="s">
        <v>129</v>
      </c>
      <c r="C5" s="1" t="str">
        <f aca="false">MID(B5,FIND("R@1",B5)+4,5)</f>
        <v>0.040</v>
      </c>
      <c r="D5" s="1" t="str">
        <f aca="false">MID(B5,FIND("R@5",B5)+4,5)</f>
        <v>0.129</v>
      </c>
      <c r="E5" s="1" t="str">
        <f aca="false">MID(B5,FIND("R@10",B5)+5,5)</f>
        <v>0.177</v>
      </c>
      <c r="F5" s="3" t="n">
        <f aca="false">VALUE(MID(B5,FIND("(n=",B5)+3,FIND(")",B5,FIND("(n=",B5))-FIND("(n=",B5)-3))</f>
        <v>963</v>
      </c>
      <c r="G5" s="3" t="n">
        <f aca="false">VALUE(C5)</f>
        <v>0.04</v>
      </c>
      <c r="H5" s="3" t="n">
        <f aca="false">VALUE(D5)</f>
        <v>0.129</v>
      </c>
      <c r="I5" s="3" t="n">
        <f aca="false">VALUE(E5)</f>
        <v>0.177</v>
      </c>
    </row>
    <row r="6" customFormat="false" ht="15.75" hidden="false" customHeight="true" outlineLevel="0" collapsed="false">
      <c r="A6" s="1" t="s">
        <v>17</v>
      </c>
      <c r="B6" s="1" t="s">
        <v>130</v>
      </c>
      <c r="C6" s="1" t="str">
        <f aca="false">MID(B6,FIND("R@1",B6)+4,5)</f>
        <v>0.308</v>
      </c>
      <c r="D6" s="1" t="str">
        <f aca="false">MID(B6,FIND("R@5",B6)+4,5)</f>
        <v>0.644</v>
      </c>
      <c r="E6" s="1" t="str">
        <f aca="false">MID(B6,FIND("R@10",B6)+5,5)</f>
        <v>0.758</v>
      </c>
      <c r="F6" s="3" t="n">
        <f aca="false">VALUE(MID(B6,FIND("(n=",B6)+3,FIND(")",B6,FIND("(n=",B6))-FIND("(n=",B6)-3))</f>
        <v>923</v>
      </c>
      <c r="G6" s="3" t="n">
        <f aca="false">VALUE(C6)</f>
        <v>0.308</v>
      </c>
      <c r="H6" s="3" t="n">
        <f aca="false">VALUE(D6)</f>
        <v>0.644</v>
      </c>
      <c r="I6" s="3" t="n">
        <f aca="false">VALUE(E6)</f>
        <v>0.758</v>
      </c>
    </row>
    <row r="7" customFormat="false" ht="15.75" hidden="false" customHeight="true" outlineLevel="0" collapsed="false">
      <c r="A7" s="1" t="s">
        <v>19</v>
      </c>
      <c r="B7" s="1" t="s">
        <v>131</v>
      </c>
      <c r="C7" s="1" t="str">
        <f aca="false">MID(B7,FIND("R@1",B7)+4,5)</f>
        <v>0.209</v>
      </c>
      <c r="D7" s="1" t="str">
        <f aca="false">MID(B7,FIND("R@5",B7)+4,5)</f>
        <v>0.567</v>
      </c>
      <c r="E7" s="1" t="str">
        <f aca="false">MID(B7,FIND("R@10",B7)+5,5)</f>
        <v>0.746</v>
      </c>
      <c r="F7" s="3" t="n">
        <f aca="false">VALUE(MID(B7,FIND("(n=",B7)+3,FIND(")",B7,FIND("(n=",B7))-FIND("(n=",B7)-3))</f>
        <v>67</v>
      </c>
      <c r="G7" s="3" t="n">
        <f aca="false">VALUE(C7)</f>
        <v>0.209</v>
      </c>
      <c r="H7" s="3" t="n">
        <f aca="false">VALUE(D7)</f>
        <v>0.567</v>
      </c>
      <c r="I7" s="3" t="n">
        <f aca="false">VALUE(E7)</f>
        <v>0.746</v>
      </c>
    </row>
    <row r="8" customFormat="false" ht="15.75" hidden="false" customHeight="true" outlineLevel="0" collapsed="false">
      <c r="A8" s="1" t="s">
        <v>21</v>
      </c>
      <c r="B8" s="1" t="s">
        <v>132</v>
      </c>
      <c r="C8" s="1" t="str">
        <f aca="false">MID(B8,FIND("R@1",B8)+4,5)</f>
        <v>0.026</v>
      </c>
      <c r="D8" s="1" t="str">
        <f aca="false">MID(B8,FIND("R@5",B8)+4,5)</f>
        <v>0.079</v>
      </c>
      <c r="E8" s="1" t="str">
        <f aca="false">MID(B8,FIND("R@10",B8)+5,5)</f>
        <v>0.151</v>
      </c>
      <c r="F8" s="3" t="n">
        <f aca="false">VALUE(MID(B8,FIND("(n=",B8)+3,FIND(")",B8,FIND("(n=",B8))-FIND("(n=",B8)-3))</f>
        <v>152</v>
      </c>
      <c r="G8" s="3" t="n">
        <f aca="false">VALUE(C8)</f>
        <v>0.026</v>
      </c>
      <c r="H8" s="3" t="n">
        <f aca="false">VALUE(D8)</f>
        <v>0.079</v>
      </c>
      <c r="I8" s="3" t="n">
        <f aca="false">VALUE(E8)</f>
        <v>0.151</v>
      </c>
    </row>
    <row r="9" customFormat="false" ht="15.75" hidden="false" customHeight="true" outlineLevel="0" collapsed="false">
      <c r="A9" s="1" t="s">
        <v>23</v>
      </c>
      <c r="B9" s="1" t="s">
        <v>133</v>
      </c>
      <c r="C9" s="1" t="str">
        <f aca="false">MID(B9,FIND("R@1",B9)+4,5)</f>
        <v>0.127</v>
      </c>
      <c r="D9" s="1" t="str">
        <f aca="false">MID(B9,FIND("R@5",B9)+4,5)</f>
        <v>0.304</v>
      </c>
      <c r="E9" s="1" t="str">
        <f aca="false">MID(B9,FIND("R@10",B9)+5,5)</f>
        <v>0.392</v>
      </c>
      <c r="F9" s="3" t="n">
        <f aca="false">VALUE(MID(B9,FIND("(n=",B9)+3,FIND(")",B9,FIND("(n=",B9))-FIND("(n=",B9)-3))</f>
        <v>306</v>
      </c>
      <c r="G9" s="3" t="n">
        <f aca="false">VALUE(C9)</f>
        <v>0.127</v>
      </c>
      <c r="H9" s="3" t="n">
        <f aca="false">VALUE(D9)</f>
        <v>0.304</v>
      </c>
      <c r="I9" s="3" t="n">
        <f aca="false">VALUE(E9)</f>
        <v>0.392</v>
      </c>
    </row>
    <row r="10" customFormat="false" ht="15.75" hidden="false" customHeight="true" outlineLevel="0" collapsed="false">
      <c r="A10" s="1" t="s">
        <v>25</v>
      </c>
      <c r="B10" s="1" t="s">
        <v>134</v>
      </c>
      <c r="C10" s="1" t="str">
        <f aca="false">MID(B10,FIND("R@1",B10)+4,5)</f>
        <v>0.158</v>
      </c>
      <c r="D10" s="1" t="str">
        <f aca="false">MID(B10,FIND("R@5",B10)+4,5)</f>
        <v>0.382</v>
      </c>
      <c r="E10" s="1" t="str">
        <f aca="false">MID(B10,FIND("R@10",B10)+5,5)</f>
        <v>0.526</v>
      </c>
      <c r="F10" s="3" t="n">
        <f aca="false">VALUE(MID(B10,FIND("(n=",B10)+3,FIND(")",B10,FIND("(n=",B10))-FIND("(n=",B10)-3))</f>
        <v>76</v>
      </c>
      <c r="G10" s="3" t="n">
        <f aca="false">VALUE(C10)</f>
        <v>0.158</v>
      </c>
      <c r="H10" s="3" t="n">
        <f aca="false">VALUE(D10)</f>
        <v>0.382</v>
      </c>
      <c r="I10" s="3" t="n">
        <f aca="false">VALUE(E10)</f>
        <v>0.526</v>
      </c>
    </row>
    <row r="11" customFormat="false" ht="15.75" hidden="false" customHeight="true" outlineLevel="0" collapsed="false">
      <c r="A11" s="1" t="s">
        <v>27</v>
      </c>
      <c r="B11" s="1" t="s">
        <v>135</v>
      </c>
      <c r="C11" s="1" t="str">
        <f aca="false">MID(B11,FIND("R@1",B11)+4,5)</f>
        <v>0.095</v>
      </c>
      <c r="D11" s="1" t="str">
        <f aca="false">MID(B11,FIND("R@5",B11)+4,5)</f>
        <v>0.452</v>
      </c>
      <c r="E11" s="1" t="str">
        <f aca="false">MID(B11,FIND("R@10",B11)+5,5)</f>
        <v>0.607</v>
      </c>
      <c r="F11" s="3" t="n">
        <f aca="false">VALUE(MID(B11,FIND("(n=",B11)+3,FIND(")",B11,FIND("(n=",B11))-FIND("(n=",B11)-3))</f>
        <v>84</v>
      </c>
      <c r="G11" s="3" t="n">
        <f aca="false">VALUE(C11)</f>
        <v>0.095</v>
      </c>
      <c r="H11" s="3" t="n">
        <f aca="false">VALUE(D11)</f>
        <v>0.452</v>
      </c>
      <c r="I11" s="3" t="n">
        <f aca="false">VALUE(E11)</f>
        <v>0.607</v>
      </c>
    </row>
    <row r="12" customFormat="false" ht="15.75" hidden="false" customHeight="true" outlineLevel="0" collapsed="false">
      <c r="A12" s="1" t="s">
        <v>29</v>
      </c>
      <c r="B12" s="1" t="s">
        <v>136</v>
      </c>
      <c r="C12" s="1" t="str">
        <f aca="false">MID(B12,FIND("R@1",B12)+4,5)</f>
        <v>0.091</v>
      </c>
      <c r="D12" s="1" t="str">
        <f aca="false">MID(B12,FIND("R@5",B12)+4,5)</f>
        <v>0.177</v>
      </c>
      <c r="E12" s="1" t="str">
        <f aca="false">MID(B12,FIND("R@10",B12)+5,5)</f>
        <v>0.253</v>
      </c>
      <c r="F12" s="3" t="n">
        <f aca="false">VALUE(MID(B12,FIND("(n=",B12)+3,FIND(")",B12,FIND("(n=",B12))-FIND("(n=",B12)-3))</f>
        <v>198</v>
      </c>
      <c r="G12" s="3" t="n">
        <f aca="false">VALUE(C12)</f>
        <v>0.091</v>
      </c>
      <c r="H12" s="3" t="n">
        <f aca="false">VALUE(D12)</f>
        <v>0.177</v>
      </c>
      <c r="I12" s="3" t="n">
        <f aca="false">VALUE(E12)</f>
        <v>0.253</v>
      </c>
    </row>
    <row r="13" customFormat="false" ht="15.75" hidden="false" customHeight="true" outlineLevel="0" collapsed="false">
      <c r="A13" s="1" t="s">
        <v>31</v>
      </c>
      <c r="B13" s="1" t="s">
        <v>137</v>
      </c>
      <c r="C13" s="1" t="str">
        <f aca="false">MID(B13,FIND("R@1",B13)+4,5)</f>
        <v>0.196</v>
      </c>
      <c r="D13" s="1" t="str">
        <f aca="false">MID(B13,FIND("R@5",B13)+4,5)</f>
        <v>0.368</v>
      </c>
      <c r="E13" s="1" t="str">
        <f aca="false">MID(B13,FIND("R@10",B13)+5,5)</f>
        <v>0.491</v>
      </c>
      <c r="F13" s="3" t="n">
        <f aca="false">VALUE(MID(B13,FIND("(n=",B13)+3,FIND(")",B13,FIND("(n=",B13))-FIND("(n=",B13)-3))</f>
        <v>163</v>
      </c>
      <c r="G13" s="3" t="n">
        <f aca="false">VALUE(C13)</f>
        <v>0.196</v>
      </c>
      <c r="H13" s="3" t="n">
        <f aca="false">VALUE(D13)</f>
        <v>0.368</v>
      </c>
      <c r="I13" s="3" t="n">
        <f aca="false">VALUE(E13)</f>
        <v>0.491</v>
      </c>
    </row>
    <row r="14" customFormat="false" ht="15.75" hidden="false" customHeight="true" outlineLevel="0" collapsed="false">
      <c r="A14" s="1" t="s">
        <v>33</v>
      </c>
      <c r="B14" s="1" t="s">
        <v>138</v>
      </c>
      <c r="C14" s="1" t="str">
        <f aca="false">MID(B14,FIND("R@1",B14)+4,5)</f>
        <v>0.061</v>
      </c>
      <c r="D14" s="1" t="str">
        <f aca="false">MID(B14,FIND("R@5",B14)+4,5)</f>
        <v>0.166</v>
      </c>
      <c r="E14" s="1" t="str">
        <f aca="false">MID(B14,FIND("R@10",B14)+5,5)</f>
        <v>0.238</v>
      </c>
      <c r="F14" s="3" t="n">
        <f aca="false">VALUE(MID(B14,FIND("(n=",B14)+3,FIND(")",B14,FIND("(n=",B14))-FIND("(n=",B14)-3))</f>
        <v>277</v>
      </c>
      <c r="G14" s="3" t="n">
        <f aca="false">VALUE(C14)</f>
        <v>0.061</v>
      </c>
      <c r="H14" s="3" t="n">
        <f aca="false">VALUE(D14)</f>
        <v>0.166</v>
      </c>
      <c r="I14" s="3" t="n">
        <f aca="false">VALUE(E14)</f>
        <v>0.238</v>
      </c>
    </row>
    <row r="15" customFormat="false" ht="15.75" hidden="false" customHeight="true" outlineLevel="0" collapsed="false">
      <c r="A15" s="1" t="s">
        <v>35</v>
      </c>
      <c r="B15" s="1" t="s">
        <v>139</v>
      </c>
      <c r="C15" s="1" t="str">
        <f aca="false">MID(B15,FIND("R@1",B15)+4,5)</f>
        <v>0.337</v>
      </c>
      <c r="D15" s="1" t="str">
        <f aca="false">MID(B15,FIND("R@5",B15)+4,5)</f>
        <v>0.728</v>
      </c>
      <c r="E15" s="1" t="str">
        <f aca="false">MID(B15,FIND("R@10",B15)+5,5)</f>
        <v>0.837</v>
      </c>
      <c r="F15" s="3" t="n">
        <f aca="false">VALUE(MID(B15,FIND("(n=",B15)+3,FIND(")",B15,FIND("(n=",B15))-FIND("(n=",B15)-3))</f>
        <v>92</v>
      </c>
      <c r="G15" s="3" t="n">
        <f aca="false">VALUE(C15)</f>
        <v>0.337</v>
      </c>
      <c r="H15" s="3" t="n">
        <f aca="false">VALUE(D15)</f>
        <v>0.728</v>
      </c>
      <c r="I15" s="3" t="n">
        <f aca="false">VALUE(E15)</f>
        <v>0.837</v>
      </c>
    </row>
    <row r="16" customFormat="false" ht="15.75" hidden="false" customHeight="true" outlineLevel="0" collapsed="false">
      <c r="A16" s="1" t="s">
        <v>37</v>
      </c>
      <c r="B16" s="1" t="s">
        <v>140</v>
      </c>
      <c r="C16" s="1" t="str">
        <f aca="false">MID(B16,FIND("R@1",B16)+4,5)</f>
        <v>0.031</v>
      </c>
      <c r="D16" s="1" t="str">
        <f aca="false">MID(B16,FIND("R@5",B16)+4,5)</f>
        <v>0.062</v>
      </c>
      <c r="E16" s="1" t="str">
        <f aca="false">MID(B16,FIND("R@10",B16)+5,5)</f>
        <v>0.109</v>
      </c>
      <c r="F16" s="3" t="n">
        <f aca="false">VALUE(MID(B16,FIND("(n=",B16)+3,FIND(")",B16,FIND("(n=",B16))-FIND("(n=",B16)-3))</f>
        <v>64</v>
      </c>
      <c r="G16" s="3" t="n">
        <f aca="false">VALUE(C16)</f>
        <v>0.031</v>
      </c>
      <c r="H16" s="3" t="n">
        <f aca="false">VALUE(D16)</f>
        <v>0.062</v>
      </c>
      <c r="I16" s="3" t="n">
        <f aca="false">VALUE(E16)</f>
        <v>0.109</v>
      </c>
    </row>
    <row r="17" customFormat="false" ht="15.75" hidden="false" customHeight="true" outlineLevel="0" collapsed="false">
      <c r="A17" s="1" t="s">
        <v>39</v>
      </c>
      <c r="B17" s="1" t="s">
        <v>141</v>
      </c>
      <c r="C17" s="1" t="str">
        <f aca="false">MID(B17,FIND("R@1",B17)+4,5)</f>
        <v>0.045</v>
      </c>
      <c r="D17" s="1" t="str">
        <f aca="false">MID(B17,FIND("R@5",B17)+4,5)</f>
        <v>0.134</v>
      </c>
      <c r="E17" s="1" t="str">
        <f aca="false">MID(B17,FIND("R@10",B17)+5,5)</f>
        <v>0.299</v>
      </c>
      <c r="F17" s="3" t="n">
        <f aca="false">VALUE(MID(B17,FIND("(n=",B17)+3,FIND(")",B17,FIND("(n=",B17))-FIND("(n=",B17)-3))</f>
        <v>67</v>
      </c>
      <c r="G17" s="3" t="n">
        <f aca="false">VALUE(C17)</f>
        <v>0.045</v>
      </c>
      <c r="H17" s="3" t="n">
        <f aca="false">VALUE(D17)</f>
        <v>0.134</v>
      </c>
      <c r="I17" s="3" t="n">
        <f aca="false">VALUE(E17)</f>
        <v>0.299</v>
      </c>
    </row>
    <row r="18" customFormat="false" ht="15.75" hidden="false" customHeight="true" outlineLevel="0" collapsed="false">
      <c r="A18" s="1" t="s">
        <v>41</v>
      </c>
      <c r="B18" s="1" t="s">
        <v>142</v>
      </c>
      <c r="C18" s="1" t="str">
        <f aca="false">MID(B18,FIND("R@1",B18)+4,5)</f>
        <v>0.036</v>
      </c>
      <c r="D18" s="1" t="str">
        <f aca="false">MID(B18,FIND("R@5",B18)+4,5)</f>
        <v>0.109</v>
      </c>
      <c r="E18" s="1" t="str">
        <f aca="false">MID(B18,FIND("R@10",B18)+5,5)</f>
        <v>0.170</v>
      </c>
      <c r="F18" s="3" t="n">
        <f aca="false">VALUE(MID(B18,FIND("(n=",B18)+3,FIND(")",B18,FIND("(n=",B18))-FIND("(n=",B18)-3))</f>
        <v>165</v>
      </c>
      <c r="G18" s="3" t="n">
        <f aca="false">VALUE(C18)</f>
        <v>0.036</v>
      </c>
      <c r="H18" s="3" t="n">
        <f aca="false">VALUE(D18)</f>
        <v>0.109</v>
      </c>
      <c r="I18" s="3" t="n">
        <f aca="false">VALUE(E18)</f>
        <v>0.17</v>
      </c>
    </row>
    <row r="19" customFormat="false" ht="15.75" hidden="false" customHeight="true" outlineLevel="0" collapsed="false">
      <c r="A19" s="1" t="s">
        <v>43</v>
      </c>
      <c r="B19" s="1" t="s">
        <v>143</v>
      </c>
      <c r="C19" s="1" t="str">
        <f aca="false">MID(B19,FIND("R@1",B19)+4,5)</f>
        <v>0.205</v>
      </c>
      <c r="D19" s="1" t="str">
        <f aca="false">MID(B19,FIND("R@5",B19)+4,5)</f>
        <v>0.514</v>
      </c>
      <c r="E19" s="1" t="str">
        <f aca="false">MID(B19,FIND("R@10",B19)+5,5)</f>
        <v>0.649</v>
      </c>
      <c r="F19" s="3" t="n">
        <f aca="false">VALUE(MID(B19,FIND("(n=",B19)+3,FIND(")",B19,FIND("(n=",B19))-FIND("(n=",B19)-3))</f>
        <v>185</v>
      </c>
      <c r="G19" s="3" t="n">
        <f aca="false">VALUE(C19)</f>
        <v>0.205</v>
      </c>
      <c r="H19" s="3" t="n">
        <f aca="false">VALUE(D19)</f>
        <v>0.514</v>
      </c>
      <c r="I19" s="3" t="n">
        <f aca="false">VALUE(E19)</f>
        <v>0.649</v>
      </c>
    </row>
    <row r="20" customFormat="false" ht="15.75" hidden="false" customHeight="true" outlineLevel="0" collapsed="false">
      <c r="A20" s="1" t="s">
        <v>45</v>
      </c>
      <c r="B20" s="1" t="s">
        <v>144</v>
      </c>
      <c r="C20" s="1" t="str">
        <f aca="false">MID(B20,FIND("R@1",B20)+4,5)</f>
        <v>0.088</v>
      </c>
      <c r="D20" s="1" t="str">
        <f aca="false">MID(B20,FIND("R@5",B20)+4,5)</f>
        <v>0.221</v>
      </c>
      <c r="E20" s="1" t="str">
        <f aca="false">MID(B20,FIND("R@10",B20)+5,5)</f>
        <v>0.331</v>
      </c>
      <c r="F20" s="3" t="n">
        <f aca="false">VALUE(MID(B20,FIND("(n=",B20)+3,FIND(")",B20,FIND("(n=",B20))-FIND("(n=",B20)-3))</f>
        <v>136</v>
      </c>
      <c r="G20" s="3" t="n">
        <f aca="false">VALUE(C20)</f>
        <v>0.088</v>
      </c>
      <c r="H20" s="3" t="n">
        <f aca="false">VALUE(D20)</f>
        <v>0.221</v>
      </c>
      <c r="I20" s="3" t="n">
        <f aca="false">VALUE(E20)</f>
        <v>0.331</v>
      </c>
    </row>
    <row r="21" customFormat="false" ht="15.75" hidden="false" customHeight="true" outlineLevel="0" collapsed="false">
      <c r="A21" s="1" t="s">
        <v>47</v>
      </c>
      <c r="B21" s="1" t="s">
        <v>145</v>
      </c>
      <c r="C21" s="1" t="str">
        <f aca="false">MID(B21,FIND("R@1",B21)+4,5)</f>
        <v>0.080</v>
      </c>
      <c r="D21" s="1" t="str">
        <f aca="false">MID(B21,FIND("R@5",B21)+4,5)</f>
        <v>0.204</v>
      </c>
      <c r="E21" s="1" t="str">
        <f aca="false">MID(B21,FIND("R@10",B21)+5,5)</f>
        <v>0.321</v>
      </c>
      <c r="F21" s="3" t="n">
        <f aca="false">VALUE(MID(B21,FIND("(n=",B21)+3,FIND(")",B21,FIND("(n=",B21))-FIND("(n=",B21)-3))</f>
        <v>137</v>
      </c>
      <c r="G21" s="3" t="n">
        <f aca="false">VALUE(C21)</f>
        <v>0.08</v>
      </c>
      <c r="H21" s="3" t="n">
        <f aca="false">VALUE(D21)</f>
        <v>0.204</v>
      </c>
      <c r="I21" s="3" t="n">
        <f aca="false">VALUE(E21)</f>
        <v>0.321</v>
      </c>
    </row>
    <row r="22" customFormat="false" ht="15.75" hidden="false" customHeight="true" outlineLevel="0" collapsed="false">
      <c r="A22" s="1" t="s">
        <v>49</v>
      </c>
      <c r="B22" s="1" t="s">
        <v>146</v>
      </c>
      <c r="C22" s="1" t="str">
        <f aca="false">MID(B22,FIND("R@1",B22)+4,5)</f>
        <v>0.092</v>
      </c>
      <c r="D22" s="1" t="str">
        <f aca="false">MID(B22,FIND("R@5",B22)+4,5)</f>
        <v>0.299</v>
      </c>
      <c r="E22" s="1" t="str">
        <f aca="false">MID(B22,FIND("R@10",B22)+5,5)</f>
        <v>0.402</v>
      </c>
      <c r="F22" s="3" t="n">
        <f aca="false">VALUE(MID(B22,FIND("(n=",B22)+3,FIND(")",B22,FIND("(n=",B22))-FIND("(n=",B22)-3))</f>
        <v>87</v>
      </c>
      <c r="G22" s="3" t="n">
        <f aca="false">VALUE(C22)</f>
        <v>0.092</v>
      </c>
      <c r="H22" s="3" t="n">
        <f aca="false">VALUE(D22)</f>
        <v>0.299</v>
      </c>
      <c r="I22" s="3" t="n">
        <f aca="false">VALUE(E22)</f>
        <v>0.402</v>
      </c>
    </row>
    <row r="23" customFormat="false" ht="15.75" hidden="false" customHeight="true" outlineLevel="0" collapsed="false">
      <c r="A23" s="1" t="s">
        <v>51</v>
      </c>
      <c r="B23" s="1" t="s">
        <v>147</v>
      </c>
      <c r="C23" s="1" t="str">
        <f aca="false">MID(B23,FIND("R@1",B23)+4,5)</f>
        <v>0.079</v>
      </c>
      <c r="D23" s="1" t="str">
        <f aca="false">MID(B23,FIND("R@5",B23)+4,5)</f>
        <v>0.191</v>
      </c>
      <c r="E23" s="1" t="str">
        <f aca="false">MID(B23,FIND("R@10",B23)+5,5)</f>
        <v>0.258</v>
      </c>
      <c r="F23" s="3" t="n">
        <f aca="false">VALUE(MID(B23,FIND("(n=",B23)+3,FIND(")",B23,FIND("(n=",B23))-FIND("(n=",B23)-3))</f>
        <v>89</v>
      </c>
      <c r="G23" s="3" t="n">
        <f aca="false">VALUE(C23)</f>
        <v>0.079</v>
      </c>
      <c r="H23" s="3" t="n">
        <f aca="false">VALUE(D23)</f>
        <v>0.191</v>
      </c>
      <c r="I23" s="3" t="n">
        <f aca="false">VALUE(E23)</f>
        <v>0.258</v>
      </c>
    </row>
    <row r="24" customFormat="false" ht="15.75" hidden="false" customHeight="true" outlineLevel="0" collapsed="false">
      <c r="A24" s="1" t="s">
        <v>53</v>
      </c>
      <c r="B24" s="1" t="s">
        <v>148</v>
      </c>
      <c r="C24" s="1" t="str">
        <f aca="false">MID(B24,FIND("R@1",B24)+4,5)</f>
        <v>0.075</v>
      </c>
      <c r="D24" s="1" t="str">
        <f aca="false">MID(B24,FIND("R@5",B24)+4,5)</f>
        <v>0.263</v>
      </c>
      <c r="E24" s="1" t="str">
        <f aca="false">MID(B24,FIND("R@10",B24)+5,5)</f>
        <v>0.338</v>
      </c>
      <c r="F24" s="3" t="n">
        <f aca="false">VALUE(MID(B24,FIND("(n=",B24)+3,FIND(")",B24,FIND("(n=",B24))-FIND("(n=",B24)-3))</f>
        <v>80</v>
      </c>
      <c r="G24" s="3" t="n">
        <f aca="false">VALUE(C24)</f>
        <v>0.075</v>
      </c>
      <c r="H24" s="3" t="n">
        <f aca="false">VALUE(D24)</f>
        <v>0.263</v>
      </c>
      <c r="I24" s="3" t="n">
        <f aca="false">VALUE(E24)</f>
        <v>0.338</v>
      </c>
    </row>
    <row r="25" customFormat="false" ht="15.75" hidden="false" customHeight="true" outlineLevel="0" collapsed="false">
      <c r="A25" s="1" t="s">
        <v>55</v>
      </c>
      <c r="B25" s="1" t="s">
        <v>149</v>
      </c>
      <c r="C25" s="1" t="str">
        <f aca="false">MID(B25,FIND("R@1",B25)+4,5)</f>
        <v>0.097</v>
      </c>
      <c r="D25" s="1" t="str">
        <f aca="false">MID(B25,FIND("R@5",B25)+4,5)</f>
        <v>0.254</v>
      </c>
      <c r="E25" s="1" t="str">
        <f aca="false">MID(B25,FIND("R@10",B25)+5,5)</f>
        <v>0.343</v>
      </c>
      <c r="F25" s="3" t="n">
        <f aca="false">VALUE(MID(B25,FIND("(n=",B25)+3,FIND(")",B25,FIND("(n=",B25))-FIND("(n=",B25)-3))</f>
        <v>134</v>
      </c>
      <c r="G25" s="3" t="n">
        <f aca="false">VALUE(C25)</f>
        <v>0.097</v>
      </c>
      <c r="H25" s="3" t="n">
        <f aca="false">VALUE(D25)</f>
        <v>0.254</v>
      </c>
      <c r="I25" s="3" t="n">
        <f aca="false">VALUE(E25)</f>
        <v>0.343</v>
      </c>
    </row>
    <row r="26" customFormat="false" ht="15.75" hidden="false" customHeight="true" outlineLevel="0" collapsed="false">
      <c r="A26" s="1" t="s">
        <v>57</v>
      </c>
      <c r="B26" s="1" t="s">
        <v>150</v>
      </c>
      <c r="C26" s="1" t="str">
        <f aca="false">MID(B26,FIND("R@1",B26)+4,5)</f>
        <v>0.082</v>
      </c>
      <c r="D26" s="1" t="str">
        <f aca="false">MID(B26,FIND("R@5",B26)+4,5)</f>
        <v>0.245</v>
      </c>
      <c r="E26" s="1" t="str">
        <f aca="false">MID(B26,FIND("R@10",B26)+5,5)</f>
        <v>0.367</v>
      </c>
      <c r="F26" s="3" t="n">
        <f aca="false">VALUE(MID(B26,FIND("(n=",B26)+3,FIND(")",B26,FIND("(n=",B26))-FIND("(n=",B26)-3))</f>
        <v>98</v>
      </c>
      <c r="G26" s="3" t="n">
        <f aca="false">VALUE(C26)</f>
        <v>0.082</v>
      </c>
      <c r="H26" s="3" t="n">
        <f aca="false">VALUE(D26)</f>
        <v>0.245</v>
      </c>
      <c r="I26" s="3" t="n">
        <f aca="false">VALUE(E26)</f>
        <v>0.367</v>
      </c>
    </row>
    <row r="27" customFormat="false" ht="15.75" hidden="false" customHeight="true" outlineLevel="0" collapsed="false">
      <c r="A27" s="1" t="s">
        <v>59</v>
      </c>
      <c r="B27" s="1" t="s">
        <v>151</v>
      </c>
      <c r="C27" s="1" t="str">
        <f aca="false">MID(B27,FIND("R@1",B27)+4,5)</f>
        <v>0.103</v>
      </c>
      <c r="D27" s="1" t="str">
        <f aca="false">MID(B27,FIND("R@5",B27)+4,5)</f>
        <v>0.397</v>
      </c>
      <c r="E27" s="1" t="str">
        <f aca="false">MID(B27,FIND("R@10",B27)+5,5)</f>
        <v>0.492</v>
      </c>
      <c r="F27" s="3" t="n">
        <f aca="false">VALUE(MID(B27,FIND("(n=",B27)+3,FIND(")",B27,FIND("(n=",B27))-FIND("(n=",B27)-3))</f>
        <v>126</v>
      </c>
      <c r="G27" s="3" t="n">
        <f aca="false">VALUE(C27)</f>
        <v>0.103</v>
      </c>
      <c r="H27" s="3" t="n">
        <f aca="false">VALUE(D27)</f>
        <v>0.397</v>
      </c>
      <c r="I27" s="3" t="n">
        <f aca="false">VALUE(E27)</f>
        <v>0.492</v>
      </c>
    </row>
    <row r="28" customFormat="false" ht="15.75" hidden="false" customHeight="true" outlineLevel="0" collapsed="false">
      <c r="A28" s="1" t="s">
        <v>61</v>
      </c>
      <c r="B28" s="1" t="s">
        <v>152</v>
      </c>
      <c r="C28" s="1" t="str">
        <f aca="false">MID(B28,FIND("R@1",B28)+4,5)</f>
        <v>0.127</v>
      </c>
      <c r="D28" s="1" t="str">
        <f aca="false">MID(B28,FIND("R@5",B28)+4,5)</f>
        <v>0.394</v>
      </c>
      <c r="E28" s="1" t="str">
        <f aca="false">MID(B28,FIND("R@10",B28)+5,5)</f>
        <v>0.465</v>
      </c>
      <c r="F28" s="3" t="n">
        <f aca="false">VALUE(MID(B28,FIND("(n=",B28)+3,FIND(")",B28,FIND("(n=",B28))-FIND("(n=",B28)-3))</f>
        <v>71</v>
      </c>
      <c r="G28" s="3" t="n">
        <f aca="false">VALUE(C28)</f>
        <v>0.127</v>
      </c>
      <c r="H28" s="3" t="n">
        <f aca="false">VALUE(D28)</f>
        <v>0.394</v>
      </c>
      <c r="I28" s="3" t="n">
        <f aca="false">VALUE(E28)</f>
        <v>0.465</v>
      </c>
    </row>
    <row r="29" customFormat="false" ht="15.75" hidden="false" customHeight="true" outlineLevel="0" collapsed="false">
      <c r="A29" s="1" t="s">
        <v>63</v>
      </c>
      <c r="B29" s="1" t="s">
        <v>153</v>
      </c>
      <c r="C29" s="1" t="str">
        <f aca="false">MID(B29,FIND("R@1",B29)+4,5)</f>
        <v>0.047</v>
      </c>
      <c r="D29" s="1" t="str">
        <f aca="false">MID(B29,FIND("R@5",B29)+4,5)</f>
        <v>0.125</v>
      </c>
      <c r="E29" s="1" t="str">
        <f aca="false">MID(B29,FIND("R@10",B29)+5,5)</f>
        <v>0.172</v>
      </c>
      <c r="F29" s="3" t="n">
        <f aca="false">VALUE(MID(B29,FIND("(n=",B29)+3,FIND(")",B29,FIND("(n=",B29))-FIND("(n=",B29)-3))</f>
        <v>64</v>
      </c>
      <c r="G29" s="3" t="n">
        <f aca="false">VALUE(C29)</f>
        <v>0.047</v>
      </c>
      <c r="H29" s="3" t="n">
        <f aca="false">VALUE(D29)</f>
        <v>0.125</v>
      </c>
      <c r="I29" s="3" t="n">
        <f aca="false">VALUE(E29)</f>
        <v>0.172</v>
      </c>
    </row>
    <row r="30" customFormat="false" ht="15.75" hidden="false" customHeight="true" outlineLevel="0" collapsed="false">
      <c r="A30" s="1" t="s">
        <v>65</v>
      </c>
      <c r="B30" s="1" t="s">
        <v>154</v>
      </c>
      <c r="C30" s="1" t="str">
        <f aca="false">MID(B30,FIND("R@1",B30)+4,5)</f>
        <v>0.028</v>
      </c>
      <c r="D30" s="1" t="str">
        <f aca="false">MID(B30,FIND("R@5",B30)+4,5)</f>
        <v>0.056</v>
      </c>
      <c r="E30" s="1" t="str">
        <f aca="false">MID(B30,FIND("R@10",B30)+5,5)</f>
        <v>0.083</v>
      </c>
      <c r="F30" s="3" t="n">
        <f aca="false">VALUE(MID(B30,FIND("(n=",B30)+3,FIND(")",B30,FIND("(n=",B30))-FIND("(n=",B30)-3))</f>
        <v>72</v>
      </c>
      <c r="G30" s="3" t="n">
        <f aca="false">VALUE(C30)</f>
        <v>0.028</v>
      </c>
      <c r="H30" s="3" t="n">
        <f aca="false">VALUE(D30)</f>
        <v>0.056</v>
      </c>
      <c r="I30" s="3" t="n">
        <f aca="false">VALUE(E30)</f>
        <v>0.083</v>
      </c>
    </row>
    <row r="32" customFormat="false" ht="19.5" hidden="false" customHeight="true" outlineLevel="0" collapsed="false">
      <c r="A32" s="5"/>
    </row>
    <row r="33" customFormat="false" ht="15.75" hidden="false" customHeight="true" outlineLevel="0" collapsed="false">
      <c r="A33" s="1" t="s">
        <v>67</v>
      </c>
    </row>
    <row r="34" customFormat="false" ht="15.75" hidden="false" customHeight="true" outlineLevel="0" collapsed="false">
      <c r="A34" s="1" t="s">
        <v>2</v>
      </c>
      <c r="B34" s="1" t="n">
        <v>0.1219</v>
      </c>
    </row>
    <row r="35" customFormat="false" ht="15.75" hidden="false" customHeight="true" outlineLevel="0" collapsed="false">
      <c r="A35" s="1" t="s">
        <v>3</v>
      </c>
      <c r="B35" s="1" t="n">
        <v>0.2932</v>
      </c>
    </row>
    <row r="36" customFormat="false" ht="15.75" hidden="false" customHeight="true" outlineLevel="0" collapsed="false">
      <c r="A36" s="1" t="s">
        <v>4</v>
      </c>
      <c r="B36" s="1" t="n">
        <v>0.3811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4" min="1" style="1" width="14"/>
    <col collapsed="false" customWidth="true" hidden="false" outlineLevel="0" max="5" min="5" style="1" width="15"/>
    <col collapsed="false" customWidth="true" hidden="false" outlineLevel="0" max="8" min="6" style="1" width="14"/>
    <col collapsed="false" customWidth="true" hidden="false" outlineLevel="0" max="9" min="9" style="1" width="15"/>
    <col collapsed="false" customWidth="true" hidden="false" outlineLevel="0" max="11" min="10" style="1" width="14"/>
    <col collapsed="false" customWidth="true" hidden="false" outlineLevel="0" max="12" min="12" style="1" width="15"/>
    <col collapsed="false" customWidth="true" hidden="false" outlineLevel="0" max="13" min="13" style="1" width="16"/>
    <col collapsed="false" customWidth="true" hidden="false" outlineLevel="0" max="16" min="14" style="1" width="14"/>
    <col collapsed="false" customWidth="true" hidden="false" outlineLevel="0" max="17" min="17" style="1" width="15"/>
    <col collapsed="false" customWidth="true" hidden="false" outlineLevel="0" max="20" min="18" style="1" width="14"/>
    <col collapsed="false" customWidth="true" hidden="false" outlineLevel="0" max="21" min="21" style="1" width="15"/>
    <col collapsed="false" customWidth="true" hidden="false" outlineLevel="0" max="23" min="22" style="1" width="14"/>
    <col collapsed="false" customWidth="true" hidden="false" outlineLevel="0" max="24" min="24" style="1" width="15"/>
    <col collapsed="false" customWidth="true" hidden="false" outlineLevel="0" max="25" min="25" style="1" width="16"/>
    <col collapsed="false" customWidth="true" hidden="false" outlineLevel="0" max="29" min="26" style="1" width="14"/>
  </cols>
  <sheetData>
    <row r="1" customFormat="false" ht="15" hidden="false" customHeight="true" outlineLevel="0" collapsed="false">
      <c r="A1" s="2" t="s">
        <v>155</v>
      </c>
      <c r="B1" s="2" t="s">
        <v>156</v>
      </c>
      <c r="C1" s="2" t="s">
        <v>157</v>
      </c>
      <c r="D1" s="2" t="s">
        <v>158</v>
      </c>
      <c r="E1" s="2" t="s">
        <v>159</v>
      </c>
      <c r="F1" s="2" t="s">
        <v>160</v>
      </c>
      <c r="G1" s="2" t="s">
        <v>161</v>
      </c>
      <c r="H1" s="2" t="s">
        <v>162</v>
      </c>
      <c r="I1" s="2" t="s">
        <v>163</v>
      </c>
      <c r="J1" s="2" t="s">
        <v>164</v>
      </c>
      <c r="K1" s="2" t="s">
        <v>165</v>
      </c>
      <c r="L1" s="2" t="s">
        <v>166</v>
      </c>
      <c r="M1" s="2" t="s">
        <v>167</v>
      </c>
      <c r="N1" s="2" t="s">
        <v>168</v>
      </c>
      <c r="O1" s="2" t="s">
        <v>169</v>
      </c>
      <c r="P1" s="2" t="s">
        <v>170</v>
      </c>
      <c r="Q1" s="2" t="s">
        <v>171</v>
      </c>
      <c r="R1" s="2" t="s">
        <v>172</v>
      </c>
      <c r="S1" s="2" t="s">
        <v>173</v>
      </c>
      <c r="T1" s="2" t="s">
        <v>174</v>
      </c>
      <c r="U1" s="2" t="s">
        <v>175</v>
      </c>
      <c r="V1" s="2" t="s">
        <v>176</v>
      </c>
      <c r="W1" s="2" t="s">
        <v>177</v>
      </c>
      <c r="X1" s="2" t="s">
        <v>178</v>
      </c>
      <c r="Y1" s="2" t="s">
        <v>179</v>
      </c>
      <c r="Z1" s="2" t="s">
        <v>5</v>
      </c>
      <c r="AA1" s="2" t="s">
        <v>180</v>
      </c>
      <c r="AB1" s="2" t="s">
        <v>181</v>
      </c>
      <c r="AC1" s="2" t="s">
        <v>182</v>
      </c>
    </row>
    <row r="2" customFormat="false" ht="15" hidden="false" customHeight="true" outlineLevel="0" collapsed="false">
      <c r="A2" s="3" t="str">
        <f aca="false">Text2Image_Base!A2</f>
        <v>BEAUTY</v>
      </c>
      <c r="B2" s="6" t="n">
        <f aca="false">Text2Image_Base!G2</f>
        <v>0.234</v>
      </c>
      <c r="C2" s="6" t="n">
        <f aca="false">Text2Image_FT!G2</f>
        <v>0.266</v>
      </c>
      <c r="D2" s="6" t="n">
        <f aca="false">C2-B2</f>
        <v>0.032</v>
      </c>
      <c r="E2" s="6" t="n">
        <f aca="false">IFERROR(D2/B2,"")</f>
        <v>0.136752136752137</v>
      </c>
      <c r="F2" s="6" t="n">
        <f aca="false">Text2Image_Base!H2</f>
        <v>0.375</v>
      </c>
      <c r="G2" s="6" t="n">
        <f aca="false">Text2Image_FT!H2</f>
        <v>0.469</v>
      </c>
      <c r="H2" s="6" t="n">
        <f aca="false">G2-F2</f>
        <v>0.094</v>
      </c>
      <c r="I2" s="6" t="n">
        <f aca="false">IFERROR(H2/F2,"")</f>
        <v>0.250666666666667</v>
      </c>
      <c r="J2" s="6" t="n">
        <f aca="false">Text2Image_Base!I2</f>
        <v>0.469</v>
      </c>
      <c r="K2" s="6" t="n">
        <f aca="false">Text2Image_FT!I2</f>
        <v>0.609</v>
      </c>
      <c r="L2" s="6" t="n">
        <f aca="false">K2-J2</f>
        <v>0.14</v>
      </c>
      <c r="M2" s="6" t="n">
        <f aca="false">IFERROR(L2/J2,"")</f>
        <v>0.298507462686567</v>
      </c>
      <c r="N2" s="7" t="n">
        <f aca="false">Image2Text_Base!G2</f>
        <v>0.141</v>
      </c>
      <c r="O2" s="7" t="n">
        <f aca="false">Image2Text_FT!G2</f>
        <v>0.219</v>
      </c>
      <c r="P2" s="7" t="n">
        <f aca="false">O2-N2</f>
        <v>0.078</v>
      </c>
      <c r="Q2" s="7" t="n">
        <f aca="false">IFERROR(P2/N2,"")</f>
        <v>0.553191489361702</v>
      </c>
      <c r="R2" s="7" t="n">
        <f aca="false">Image2Text_Base!H2</f>
        <v>0.25</v>
      </c>
      <c r="S2" s="7" t="n">
        <f aca="false">Image2Text_FT!H2</f>
        <v>0.438</v>
      </c>
      <c r="T2" s="7" t="n">
        <f aca="false">S2-R2</f>
        <v>0.188</v>
      </c>
      <c r="U2" s="7" t="n">
        <f aca="false">IFERROR(T2/R2,"")</f>
        <v>0.752</v>
      </c>
      <c r="V2" s="7" t="n">
        <f aca="false">Image2Text_Base!I2</f>
        <v>0.359</v>
      </c>
      <c r="W2" s="7" t="n">
        <f aca="false">Image2Text_FT!I2</f>
        <v>0.609</v>
      </c>
      <c r="X2" s="7" t="n">
        <f aca="false">W2-V2</f>
        <v>0.25</v>
      </c>
      <c r="Y2" s="7" t="n">
        <f aca="false">IFERROR(X2/V2,"")</f>
        <v>0.696378830083566</v>
      </c>
      <c r="Z2" s="3" t="n">
        <f aca="false">Text2Image_Base!F2</f>
        <v>64</v>
      </c>
      <c r="AA2" s="3" t="str">
        <f aca="false">IF(L2&gt;=0.15,"Strong Improvement",IF(L2&gt;=0.05,"Moderate Improvement",IF(L2&gt;=-0.02,"Marginal/Flat","Regressed")))</f>
        <v>Moderate Improvement</v>
      </c>
      <c r="AB2" s="3" t="str">
        <f aca="false">IF(X2&gt;=0.15,"Strong Improvement",IF(X2&gt;=0.05,"Moderate Improvement",IF(X2&gt;=-0.02,"Marginal/Flat","Regressed")))</f>
        <v>Strong Improvement</v>
      </c>
      <c r="AC2" s="3" t="str">
        <f aca="false">IF(Z2&lt;70,"Low N (&lt;70)","")</f>
        <v>Low N (&lt;70)</v>
      </c>
    </row>
    <row r="3" customFormat="false" ht="15" hidden="false" customHeight="true" outlineLevel="0" collapsed="false">
      <c r="A3" s="3" t="str">
        <f aca="false">Text2Image_Base!A3</f>
        <v>OFFICE_PRODUCTS</v>
      </c>
      <c r="B3" s="6" t="n">
        <f aca="false">Text2Image_Base!G3</f>
        <v>0.129</v>
      </c>
      <c r="C3" s="6" t="n">
        <f aca="false">Text2Image_FT!G3</f>
        <v>0.141</v>
      </c>
      <c r="D3" s="6" t="n">
        <f aca="false">C3-B3</f>
        <v>0.012</v>
      </c>
      <c r="E3" s="6" t="n">
        <f aca="false">IFERROR(D3/B3,"")</f>
        <v>0.0930232558139534</v>
      </c>
      <c r="F3" s="6" t="n">
        <f aca="false">Text2Image_Base!H3</f>
        <v>0.4</v>
      </c>
      <c r="G3" s="6" t="n">
        <f aca="false">Text2Image_FT!H3</f>
        <v>0.4</v>
      </c>
      <c r="H3" s="6" t="n">
        <f aca="false">G3-F3</f>
        <v>0</v>
      </c>
      <c r="I3" s="6" t="n">
        <f aca="false">IFERROR(H3/F3,"")</f>
        <v>0</v>
      </c>
      <c r="J3" s="6" t="n">
        <f aca="false">Text2Image_Base!I3</f>
        <v>0.518</v>
      </c>
      <c r="K3" s="6" t="n">
        <f aca="false">Text2Image_FT!I3</f>
        <v>0.506</v>
      </c>
      <c r="L3" s="6" t="n">
        <f aca="false">K3-J3</f>
        <v>-0.012</v>
      </c>
      <c r="M3" s="6" t="n">
        <f aca="false">IFERROR(L3/J3,"")</f>
        <v>-0.0231660231660232</v>
      </c>
      <c r="N3" s="7" t="n">
        <f aca="false">Image2Text_Base!G3</f>
        <v>0.129</v>
      </c>
      <c r="O3" s="7" t="n">
        <f aca="false">Image2Text_FT!G3</f>
        <v>0.165</v>
      </c>
      <c r="P3" s="7" t="n">
        <f aca="false">O3-N3</f>
        <v>0.036</v>
      </c>
      <c r="Q3" s="7" t="n">
        <f aca="false">IFERROR(P3/N3,"")</f>
        <v>0.279069767441861</v>
      </c>
      <c r="R3" s="7" t="n">
        <f aca="false">Image2Text_Base!H3</f>
        <v>0.259</v>
      </c>
      <c r="S3" s="7" t="n">
        <f aca="false">Image2Text_FT!H3</f>
        <v>0.412</v>
      </c>
      <c r="T3" s="7" t="n">
        <f aca="false">S3-R3</f>
        <v>0.153</v>
      </c>
      <c r="U3" s="7" t="n">
        <f aca="false">IFERROR(T3/R3,"")</f>
        <v>0.590733590733591</v>
      </c>
      <c r="V3" s="7" t="n">
        <f aca="false">Image2Text_Base!I3</f>
        <v>0.376</v>
      </c>
      <c r="W3" s="7" t="n">
        <f aca="false">Image2Text_FT!I3</f>
        <v>0.553</v>
      </c>
      <c r="X3" s="7" t="n">
        <f aca="false">W3-V3</f>
        <v>0.177</v>
      </c>
      <c r="Y3" s="7" t="n">
        <f aca="false">IFERROR(X3/V3,"")</f>
        <v>0.470744680851064</v>
      </c>
      <c r="Z3" s="3" t="n">
        <f aca="false">Text2Image_Base!F3</f>
        <v>85</v>
      </c>
      <c r="AA3" s="3" t="str">
        <f aca="false">IF(L3&gt;=0.15,"Strong Improvement",IF(L3&gt;=0.05,"Moderate Improvement",IF(L3&gt;=-0.02,"Marginal/Flat","Regressed")))</f>
        <v>Marginal/Flat</v>
      </c>
      <c r="AB3" s="3" t="str">
        <f aca="false">IF(X3&gt;=0.15,"Strong Improvement",IF(X3&gt;=0.05,"Moderate Improvement",IF(X3&gt;=-0.02,"Marginal/Flat","Regressed")))</f>
        <v>Strong Improvement</v>
      </c>
      <c r="AC3" s="3" t="str">
        <f aca="false">IF(Z3&lt;70,"Low N (&lt;70)","")</f>
        <v/>
      </c>
    </row>
    <row r="4" customFormat="false" ht="15" hidden="false" customHeight="true" outlineLevel="0" collapsed="false">
      <c r="A4" s="3" t="str">
        <f aca="false">Text2Image_Base!A4</f>
        <v>BOOT</v>
      </c>
      <c r="B4" s="6" t="n">
        <f aca="false">Text2Image_Base!G4</f>
        <v>0.07</v>
      </c>
      <c r="C4" s="6" t="n">
        <f aca="false">Text2Image_FT!G4</f>
        <v>0.099</v>
      </c>
      <c r="D4" s="6" t="n">
        <f aca="false">C4-B4</f>
        <v>0.029</v>
      </c>
      <c r="E4" s="6" t="n">
        <f aca="false">IFERROR(D4/B4,"")</f>
        <v>0.414285714285714</v>
      </c>
      <c r="F4" s="6" t="n">
        <f aca="false">Text2Image_Base!H4</f>
        <v>0.254</v>
      </c>
      <c r="G4" s="6" t="n">
        <f aca="false">Text2Image_FT!H4</f>
        <v>0.296</v>
      </c>
      <c r="H4" s="6" t="n">
        <f aca="false">G4-F4</f>
        <v>0.042</v>
      </c>
      <c r="I4" s="6" t="n">
        <f aca="false">IFERROR(H4/F4,"")</f>
        <v>0.165354330708661</v>
      </c>
      <c r="J4" s="6" t="n">
        <f aca="false">Text2Image_Base!I4</f>
        <v>0.338</v>
      </c>
      <c r="K4" s="6" t="n">
        <f aca="false">Text2Image_FT!I4</f>
        <v>0.423</v>
      </c>
      <c r="L4" s="6" t="n">
        <f aca="false">K4-J4</f>
        <v>0.085</v>
      </c>
      <c r="M4" s="6" t="n">
        <f aca="false">IFERROR(L4/J4,"")</f>
        <v>0.251479289940828</v>
      </c>
      <c r="N4" s="7" t="n">
        <f aca="false">Image2Text_Base!G4</f>
        <v>0.099</v>
      </c>
      <c r="O4" s="7" t="n">
        <f aca="false">Image2Text_FT!G4</f>
        <v>0.099</v>
      </c>
      <c r="P4" s="7" t="n">
        <f aca="false">O4-N4</f>
        <v>0</v>
      </c>
      <c r="Q4" s="7" t="n">
        <f aca="false">IFERROR(P4/N4,"")</f>
        <v>0</v>
      </c>
      <c r="R4" s="7" t="n">
        <f aca="false">Image2Text_Base!H4</f>
        <v>0.225</v>
      </c>
      <c r="S4" s="7" t="n">
        <f aca="false">Image2Text_FT!H4</f>
        <v>0.282</v>
      </c>
      <c r="T4" s="7" t="n">
        <f aca="false">S4-R4</f>
        <v>0.057</v>
      </c>
      <c r="U4" s="7" t="n">
        <f aca="false">IFERROR(T4/R4,"")</f>
        <v>0.253333333333333</v>
      </c>
      <c r="V4" s="7" t="n">
        <f aca="false">Image2Text_Base!I4</f>
        <v>0.268</v>
      </c>
      <c r="W4" s="7" t="n">
        <f aca="false">Image2Text_FT!I4</f>
        <v>0.366</v>
      </c>
      <c r="X4" s="7" t="n">
        <f aca="false">W4-V4</f>
        <v>0.098</v>
      </c>
      <c r="Y4" s="7" t="n">
        <f aca="false">IFERROR(X4/V4,"")</f>
        <v>0.365671641791045</v>
      </c>
      <c r="Z4" s="3" t="n">
        <f aca="false">Text2Image_Base!F4</f>
        <v>71</v>
      </c>
      <c r="AA4" s="3" t="str">
        <f aca="false">IF(L4&gt;=0.15,"Strong Improvement",IF(L4&gt;=0.05,"Moderate Improvement",IF(L4&gt;=-0.02,"Marginal/Flat","Regressed")))</f>
        <v>Moderate Improvement</v>
      </c>
      <c r="AB4" s="3" t="str">
        <f aca="false">IF(X4&gt;=0.15,"Strong Improvement",IF(X4&gt;=0.05,"Moderate Improvement",IF(X4&gt;=-0.02,"Marginal/Flat","Regressed")))</f>
        <v>Moderate Improvement</v>
      </c>
      <c r="AC4" s="3" t="str">
        <f aca="false">IF(Z4&lt;70,"Low N (&lt;70)","")</f>
        <v/>
      </c>
    </row>
    <row r="5" customFormat="false" ht="15" hidden="false" customHeight="true" outlineLevel="0" collapsed="false">
      <c r="A5" s="3" t="str">
        <f aca="false">Text2Image_Base!A5</f>
        <v>SHOES</v>
      </c>
      <c r="B5" s="6" t="n">
        <f aca="false">Text2Image_Base!G5</f>
        <v>0.049</v>
      </c>
      <c r="C5" s="6" t="n">
        <f aca="false">Text2Image_FT!G5</f>
        <v>0.069</v>
      </c>
      <c r="D5" s="6" t="n">
        <f aca="false">C5-B5</f>
        <v>0.02</v>
      </c>
      <c r="E5" s="6" t="n">
        <f aca="false">IFERROR(D5/B5,"")</f>
        <v>0.408163265306123</v>
      </c>
      <c r="F5" s="6" t="n">
        <f aca="false">Text2Image_Base!H5</f>
        <v>0.128</v>
      </c>
      <c r="G5" s="6" t="n">
        <f aca="false">Text2Image_FT!H5</f>
        <v>0.227</v>
      </c>
      <c r="H5" s="6" t="n">
        <f aca="false">G5-F5</f>
        <v>0.099</v>
      </c>
      <c r="I5" s="6" t="n">
        <f aca="false">IFERROR(H5/F5,"")</f>
        <v>0.7734375</v>
      </c>
      <c r="J5" s="6" t="n">
        <f aca="false">Text2Image_Base!I5</f>
        <v>0.188</v>
      </c>
      <c r="K5" s="6" t="n">
        <f aca="false">Text2Image_FT!I5</f>
        <v>0.325</v>
      </c>
      <c r="L5" s="6" t="n">
        <f aca="false">K5-J5</f>
        <v>0.137</v>
      </c>
      <c r="M5" s="6" t="n">
        <f aca="false">IFERROR(L5/J5,"")</f>
        <v>0.728723404255319</v>
      </c>
      <c r="N5" s="7" t="n">
        <f aca="false">Image2Text_Base!G5</f>
        <v>0.04</v>
      </c>
      <c r="O5" s="7" t="n">
        <f aca="false">Image2Text_FT!G5</f>
        <v>0.073</v>
      </c>
      <c r="P5" s="7" t="n">
        <f aca="false">O5-N5</f>
        <v>0.033</v>
      </c>
      <c r="Q5" s="7" t="n">
        <f aca="false">IFERROR(P5/N5,"")</f>
        <v>0.825</v>
      </c>
      <c r="R5" s="7" t="n">
        <f aca="false">Image2Text_Base!H5</f>
        <v>0.129</v>
      </c>
      <c r="S5" s="7" t="n">
        <f aca="false">Image2Text_FT!H5</f>
        <v>0.242</v>
      </c>
      <c r="T5" s="7" t="n">
        <f aca="false">S5-R5</f>
        <v>0.113</v>
      </c>
      <c r="U5" s="7" t="n">
        <f aca="false">IFERROR(T5/R5,"")</f>
        <v>0.875968992248062</v>
      </c>
      <c r="V5" s="7" t="n">
        <f aca="false">Image2Text_Base!I5</f>
        <v>0.177</v>
      </c>
      <c r="W5" s="7" t="n">
        <f aca="false">Image2Text_FT!I5</f>
        <v>0.349</v>
      </c>
      <c r="X5" s="7" t="n">
        <f aca="false">W5-V5</f>
        <v>0.172</v>
      </c>
      <c r="Y5" s="7" t="n">
        <f aca="false">IFERROR(X5/V5,"")</f>
        <v>0.971751412429379</v>
      </c>
      <c r="Z5" s="3" t="n">
        <f aca="false">Text2Image_Base!F5</f>
        <v>963</v>
      </c>
      <c r="AA5" s="3" t="str">
        <f aca="false">IF(L5&gt;=0.15,"Strong Improvement",IF(L5&gt;=0.05,"Moderate Improvement",IF(L5&gt;=-0.02,"Marginal/Flat","Regressed")))</f>
        <v>Moderate Improvement</v>
      </c>
      <c r="AB5" s="3" t="str">
        <f aca="false">IF(X5&gt;=0.15,"Strong Improvement",IF(X5&gt;=0.05,"Moderate Improvement",IF(X5&gt;=-0.02,"Marginal/Flat","Regressed")))</f>
        <v>Strong Improvement</v>
      </c>
      <c r="AC5" s="3" t="str">
        <f aca="false">IF(Z5&lt;70,"Low N (&lt;70)","")</f>
        <v/>
      </c>
    </row>
    <row r="6" customFormat="false" ht="15" hidden="false" customHeight="true" outlineLevel="0" collapsed="false">
      <c r="A6" s="3" t="str">
        <f aca="false">Text2Image_Base!A6</f>
        <v>GROCERY</v>
      </c>
      <c r="B6" s="6" t="n">
        <f aca="false">Text2Image_Base!G6</f>
        <v>0.213</v>
      </c>
      <c r="C6" s="6" t="n">
        <f aca="false">Text2Image_FT!G6</f>
        <v>0.444</v>
      </c>
      <c r="D6" s="6" t="n">
        <f aca="false">C6-B6</f>
        <v>0.231</v>
      </c>
      <c r="E6" s="6" t="n">
        <f aca="false">IFERROR(D6/B6,"")</f>
        <v>1.08450704225352</v>
      </c>
      <c r="F6" s="6" t="n">
        <f aca="false">Text2Image_Base!H6</f>
        <v>0.457</v>
      </c>
      <c r="G6" s="6" t="n">
        <f aca="false">Text2Image_FT!H6</f>
        <v>0.781</v>
      </c>
      <c r="H6" s="6" t="n">
        <f aca="false">G6-F6</f>
        <v>0.324</v>
      </c>
      <c r="I6" s="6" t="n">
        <f aca="false">IFERROR(H6/F6,"")</f>
        <v>0.708971553610503</v>
      </c>
      <c r="J6" s="6" t="n">
        <f aca="false">Text2Image_Base!I6</f>
        <v>0.563</v>
      </c>
      <c r="K6" s="6" t="n">
        <f aca="false">Text2Image_FT!I6</f>
        <v>0.863</v>
      </c>
      <c r="L6" s="6" t="n">
        <f aca="false">K6-J6</f>
        <v>0.3</v>
      </c>
      <c r="M6" s="6" t="n">
        <f aca="false">IFERROR(L6/J6,"")</f>
        <v>0.532859680284192</v>
      </c>
      <c r="N6" s="7" t="n">
        <f aca="false">Image2Text_Base!G6</f>
        <v>0.308</v>
      </c>
      <c r="O6" s="7" t="n">
        <f aca="false">Image2Text_FT!G6</f>
        <v>0.377</v>
      </c>
      <c r="P6" s="7" t="n">
        <f aca="false">O6-N6</f>
        <v>0.069</v>
      </c>
      <c r="Q6" s="7" t="n">
        <f aca="false">IFERROR(P6/N6,"")</f>
        <v>0.224025974025974</v>
      </c>
      <c r="R6" s="7" t="n">
        <f aca="false">Image2Text_Base!H6</f>
        <v>0.644</v>
      </c>
      <c r="S6" s="7" t="n">
        <f aca="false">Image2Text_FT!H6</f>
        <v>0.735</v>
      </c>
      <c r="T6" s="7" t="n">
        <f aca="false">S6-R6</f>
        <v>0.091</v>
      </c>
      <c r="U6" s="7" t="n">
        <f aca="false">IFERROR(T6/R6,"")</f>
        <v>0.141304347826087</v>
      </c>
      <c r="V6" s="7" t="n">
        <f aca="false">Image2Text_Base!I6</f>
        <v>0.758</v>
      </c>
      <c r="W6" s="7" t="n">
        <f aca="false">Image2Text_FT!I6</f>
        <v>0.844</v>
      </c>
      <c r="X6" s="7" t="n">
        <f aca="false">W6-V6</f>
        <v>0.086</v>
      </c>
      <c r="Y6" s="7" t="n">
        <f aca="false">IFERROR(X6/V6,"")</f>
        <v>0.113456464379947</v>
      </c>
      <c r="Z6" s="3" t="n">
        <f aca="false">Text2Image_Base!F6</f>
        <v>923</v>
      </c>
      <c r="AA6" s="3" t="str">
        <f aca="false">IF(L6&gt;=0.15,"Strong Improvement",IF(L6&gt;=0.05,"Moderate Improvement",IF(L6&gt;=-0.02,"Marginal/Flat","Regressed")))</f>
        <v>Strong Improvement</v>
      </c>
      <c r="AB6" s="3" t="str">
        <f aca="false">IF(X6&gt;=0.15,"Strong Improvement",IF(X6&gt;=0.05,"Moderate Improvement",IF(X6&gt;=-0.02,"Marginal/Flat","Regressed")))</f>
        <v>Moderate Improvement</v>
      </c>
      <c r="AC6" s="3" t="str">
        <f aca="false">IF(Z6&lt;70,"Low N (&lt;70)","")</f>
        <v/>
      </c>
    </row>
    <row r="7" customFormat="false" ht="15" hidden="false" customHeight="true" outlineLevel="0" collapsed="false">
      <c r="A7" s="3" t="str">
        <f aca="false">Text2Image_Base!A7</f>
        <v>ACCESSORY</v>
      </c>
      <c r="B7" s="6" t="n">
        <f aca="false">Text2Image_Base!G7</f>
        <v>0.224</v>
      </c>
      <c r="C7" s="6" t="n">
        <f aca="false">Text2Image_FT!G7</f>
        <v>0.164</v>
      </c>
      <c r="D7" s="6" t="n">
        <f aca="false">C7-B7</f>
        <v>-0.06</v>
      </c>
      <c r="E7" s="6" t="n">
        <f aca="false">IFERROR(D7/B7,"")</f>
        <v>-0.267857142857143</v>
      </c>
      <c r="F7" s="6" t="n">
        <f aca="false">Text2Image_Base!H7</f>
        <v>0.582</v>
      </c>
      <c r="G7" s="6" t="n">
        <f aca="false">Text2Image_FT!H7</f>
        <v>0.537</v>
      </c>
      <c r="H7" s="6" t="n">
        <f aca="false">G7-F7</f>
        <v>-0.0449999999999999</v>
      </c>
      <c r="I7" s="6" t="n">
        <f aca="false">IFERROR(H7/F7,"")</f>
        <v>-0.0773195876288659</v>
      </c>
      <c r="J7" s="6" t="n">
        <f aca="false">Text2Image_Base!I7</f>
        <v>0.731</v>
      </c>
      <c r="K7" s="6" t="n">
        <f aca="false">Text2Image_FT!I7</f>
        <v>0.716</v>
      </c>
      <c r="L7" s="6" t="n">
        <f aca="false">K7-J7</f>
        <v>-0.015</v>
      </c>
      <c r="M7" s="6" t="n">
        <f aca="false">IFERROR(L7/J7,"")</f>
        <v>-0.0205198358413133</v>
      </c>
      <c r="N7" s="7" t="n">
        <f aca="false">Image2Text_Base!G7</f>
        <v>0.209</v>
      </c>
      <c r="O7" s="7" t="n">
        <f aca="false">Image2Text_FT!G7</f>
        <v>0.239</v>
      </c>
      <c r="P7" s="7" t="n">
        <f aca="false">O7-N7</f>
        <v>0.03</v>
      </c>
      <c r="Q7" s="7" t="n">
        <f aca="false">IFERROR(P7/N7,"")</f>
        <v>0.143540669856459</v>
      </c>
      <c r="R7" s="7" t="n">
        <f aca="false">Image2Text_Base!H7</f>
        <v>0.567</v>
      </c>
      <c r="S7" s="7" t="n">
        <f aca="false">Image2Text_FT!H7</f>
        <v>0.612</v>
      </c>
      <c r="T7" s="7" t="n">
        <f aca="false">S7-R7</f>
        <v>0.045</v>
      </c>
      <c r="U7" s="7" t="n">
        <f aca="false">IFERROR(T7/R7,"")</f>
        <v>0.0793650793650794</v>
      </c>
      <c r="V7" s="7" t="n">
        <f aca="false">Image2Text_Base!I7</f>
        <v>0.746</v>
      </c>
      <c r="W7" s="7" t="n">
        <f aca="false">Image2Text_FT!I7</f>
        <v>0.791</v>
      </c>
      <c r="X7" s="7" t="n">
        <f aca="false">W7-V7</f>
        <v>0.045</v>
      </c>
      <c r="Y7" s="7" t="n">
        <f aca="false">IFERROR(X7/V7,"")</f>
        <v>0.0603217158176944</v>
      </c>
      <c r="Z7" s="3" t="n">
        <f aca="false">Text2Image_Base!F7</f>
        <v>67</v>
      </c>
      <c r="AA7" s="3" t="str">
        <f aca="false">IF(L7&gt;=0.15,"Strong Improvement",IF(L7&gt;=0.05,"Moderate Improvement",IF(L7&gt;=-0.02,"Marginal/Flat","Regressed")))</f>
        <v>Marginal/Flat</v>
      </c>
      <c r="AB7" s="3" t="str">
        <f aca="false">IF(X7&gt;=0.15,"Strong Improvement",IF(X7&gt;=0.05,"Moderate Improvement",IF(X7&gt;=-0.02,"Marginal/Flat","Regressed")))</f>
        <v>Marginal/Flat</v>
      </c>
      <c r="AC7" s="3" t="str">
        <f aca="false">IF(Z7&lt;70,"Low N (&lt;70)","")</f>
        <v>Low N (&lt;70)</v>
      </c>
    </row>
    <row r="8" customFormat="false" ht="15" hidden="false" customHeight="true" outlineLevel="0" collapsed="false">
      <c r="A8" s="3" t="str">
        <f aca="false">Text2Image_Base!A8</f>
        <v>RUG</v>
      </c>
      <c r="B8" s="6" t="n">
        <f aca="false">Text2Image_Base!G8</f>
        <v>0.026</v>
      </c>
      <c r="C8" s="6" t="n">
        <f aca="false">Text2Image_FT!G8</f>
        <v>0.053</v>
      </c>
      <c r="D8" s="6" t="n">
        <f aca="false">C8-B8</f>
        <v>0.027</v>
      </c>
      <c r="E8" s="6" t="n">
        <f aca="false">IFERROR(D8/B8,"")</f>
        <v>1.03846153846154</v>
      </c>
      <c r="F8" s="6" t="n">
        <f aca="false">Text2Image_Base!H8</f>
        <v>0.072</v>
      </c>
      <c r="G8" s="6" t="n">
        <f aca="false">Text2Image_FT!H8</f>
        <v>0.171</v>
      </c>
      <c r="H8" s="6" t="n">
        <f aca="false">G8-F8</f>
        <v>0.099</v>
      </c>
      <c r="I8" s="6" t="n">
        <f aca="false">IFERROR(H8/F8,"")</f>
        <v>1.375</v>
      </c>
      <c r="J8" s="6" t="n">
        <f aca="false">Text2Image_Base!I8</f>
        <v>0.079</v>
      </c>
      <c r="K8" s="6" t="n">
        <f aca="false">Text2Image_FT!I8</f>
        <v>0.23</v>
      </c>
      <c r="L8" s="6" t="n">
        <f aca="false">K8-J8</f>
        <v>0.151</v>
      </c>
      <c r="M8" s="6" t="n">
        <f aca="false">IFERROR(L8/J8,"")</f>
        <v>1.91139240506329</v>
      </c>
      <c r="N8" s="7" t="n">
        <f aca="false">Image2Text_Base!G8</f>
        <v>0.026</v>
      </c>
      <c r="O8" s="7" t="n">
        <f aca="false">Image2Text_FT!G8</f>
        <v>0.072</v>
      </c>
      <c r="P8" s="7" t="n">
        <f aca="false">O8-N8</f>
        <v>0.046</v>
      </c>
      <c r="Q8" s="7" t="n">
        <f aca="false">IFERROR(P8/N8,"")</f>
        <v>1.76923076923077</v>
      </c>
      <c r="R8" s="7" t="n">
        <f aca="false">Image2Text_Base!H8</f>
        <v>0.079</v>
      </c>
      <c r="S8" s="7" t="n">
        <f aca="false">Image2Text_FT!H8</f>
        <v>0.197</v>
      </c>
      <c r="T8" s="7" t="n">
        <f aca="false">S8-R8</f>
        <v>0.118</v>
      </c>
      <c r="U8" s="7" t="n">
        <f aca="false">IFERROR(T8/R8,"")</f>
        <v>1.49367088607595</v>
      </c>
      <c r="V8" s="7" t="n">
        <f aca="false">Image2Text_Base!I8</f>
        <v>0.151</v>
      </c>
      <c r="W8" s="7" t="n">
        <f aca="false">Image2Text_FT!I8</f>
        <v>0.263</v>
      </c>
      <c r="X8" s="7" t="n">
        <f aca="false">W8-V8</f>
        <v>0.112</v>
      </c>
      <c r="Y8" s="7" t="n">
        <f aca="false">IFERROR(X8/V8,"")</f>
        <v>0.741721854304636</v>
      </c>
      <c r="Z8" s="3" t="n">
        <f aca="false">Text2Image_Base!F8</f>
        <v>152</v>
      </c>
      <c r="AA8" s="3" t="str">
        <f aca="false">IF(L8&gt;=0.15,"Strong Improvement",IF(L8&gt;=0.05,"Moderate Improvement",IF(L8&gt;=-0.02,"Marginal/Flat","Regressed")))</f>
        <v>Strong Improvement</v>
      </c>
      <c r="AB8" s="3" t="str">
        <f aca="false">IF(X8&gt;=0.15,"Strong Improvement",IF(X8&gt;=0.05,"Moderate Improvement",IF(X8&gt;=-0.02,"Marginal/Flat","Regressed")))</f>
        <v>Moderate Improvement</v>
      </c>
      <c r="AC8" s="3" t="str">
        <f aca="false">IF(Z8&lt;70,"Low N (&lt;70)","")</f>
        <v/>
      </c>
    </row>
    <row r="9" customFormat="false" ht="15" hidden="false" customHeight="true" outlineLevel="0" collapsed="false">
      <c r="A9" s="3" t="str">
        <f aca="false">Text2Image_Base!A9</f>
        <v>HOME</v>
      </c>
      <c r="B9" s="6" t="n">
        <f aca="false">Text2Image_Base!G9</f>
        <v>0.111</v>
      </c>
      <c r="C9" s="6" t="n">
        <f aca="false">Text2Image_FT!G9</f>
        <v>0.15</v>
      </c>
      <c r="D9" s="6" t="n">
        <f aca="false">C9-B9</f>
        <v>0.039</v>
      </c>
      <c r="E9" s="6" t="n">
        <f aca="false">IFERROR(D9/B9,"")</f>
        <v>0.351351351351351</v>
      </c>
      <c r="F9" s="6" t="n">
        <f aca="false">Text2Image_Base!H9</f>
        <v>0.268</v>
      </c>
      <c r="G9" s="6" t="n">
        <f aca="false">Text2Image_FT!H9</f>
        <v>0.402</v>
      </c>
      <c r="H9" s="6" t="n">
        <f aca="false">G9-F9</f>
        <v>0.134</v>
      </c>
      <c r="I9" s="6" t="n">
        <f aca="false">IFERROR(H9/F9,"")</f>
        <v>0.5</v>
      </c>
      <c r="J9" s="6" t="n">
        <f aca="false">Text2Image_Base!I9</f>
        <v>0.373</v>
      </c>
      <c r="K9" s="6" t="n">
        <f aca="false">Text2Image_FT!I9</f>
        <v>0.51</v>
      </c>
      <c r="L9" s="6" t="n">
        <f aca="false">K9-J9</f>
        <v>0.137</v>
      </c>
      <c r="M9" s="6" t="n">
        <f aca="false">IFERROR(L9/J9,"")</f>
        <v>0.367292225201072</v>
      </c>
      <c r="N9" s="7" t="n">
        <f aca="false">Image2Text_Base!G9</f>
        <v>0.127</v>
      </c>
      <c r="O9" s="7" t="n">
        <f aca="false">Image2Text_FT!G9</f>
        <v>0.121</v>
      </c>
      <c r="P9" s="7" t="n">
        <f aca="false">O9-N9</f>
        <v>-0.00600000000000001</v>
      </c>
      <c r="Q9" s="7" t="n">
        <f aca="false">IFERROR(P9/N9,"")</f>
        <v>-0.047244094488189</v>
      </c>
      <c r="R9" s="7" t="n">
        <f aca="false">Image2Text_Base!H9</f>
        <v>0.304</v>
      </c>
      <c r="S9" s="7" t="n">
        <f aca="false">Image2Text_FT!H9</f>
        <v>0.363</v>
      </c>
      <c r="T9" s="7" t="n">
        <f aca="false">S9-R9</f>
        <v>0.059</v>
      </c>
      <c r="U9" s="7" t="n">
        <f aca="false">IFERROR(T9/R9,"")</f>
        <v>0.194078947368421</v>
      </c>
      <c r="V9" s="7" t="n">
        <f aca="false">Image2Text_Base!I9</f>
        <v>0.392</v>
      </c>
      <c r="W9" s="7" t="n">
        <f aca="false">Image2Text_FT!I9</f>
        <v>0.474</v>
      </c>
      <c r="X9" s="7" t="n">
        <f aca="false">W9-V9</f>
        <v>0.082</v>
      </c>
      <c r="Y9" s="7" t="n">
        <f aca="false">IFERROR(X9/V9,"")</f>
        <v>0.209183673469388</v>
      </c>
      <c r="Z9" s="3" t="n">
        <f aca="false">Text2Image_Base!F9</f>
        <v>306</v>
      </c>
      <c r="AA9" s="3" t="str">
        <f aca="false">IF(L9&gt;=0.15,"Strong Improvement",IF(L9&gt;=0.05,"Moderate Improvement",IF(L9&gt;=-0.02,"Marginal/Flat","Regressed")))</f>
        <v>Moderate Improvement</v>
      </c>
      <c r="AB9" s="3" t="str">
        <f aca="false">IF(X9&gt;=0.15,"Strong Improvement",IF(X9&gt;=0.05,"Moderate Improvement",IF(X9&gt;=-0.02,"Marginal/Flat","Regressed")))</f>
        <v>Moderate Improvement</v>
      </c>
      <c r="AC9" s="3" t="str">
        <f aca="false">IF(Z9&lt;70,"Low N (&lt;70)","")</f>
        <v/>
      </c>
    </row>
    <row r="10" customFormat="false" ht="15" hidden="false" customHeight="true" outlineLevel="0" collapsed="false">
      <c r="A10" s="3" t="str">
        <f aca="false">Text2Image_Base!A10</f>
        <v>SPORTING_GOODS</v>
      </c>
      <c r="B10" s="6" t="n">
        <f aca="false">Text2Image_Base!G10</f>
        <v>0.25</v>
      </c>
      <c r="C10" s="6" t="n">
        <f aca="false">Text2Image_FT!G10</f>
        <v>0.171</v>
      </c>
      <c r="D10" s="6" t="n">
        <f aca="false">C10-B10</f>
        <v>-0.079</v>
      </c>
      <c r="E10" s="6" t="n">
        <f aca="false">IFERROR(D10/B10,"")</f>
        <v>-0.316</v>
      </c>
      <c r="F10" s="6" t="n">
        <f aca="false">Text2Image_Base!H10</f>
        <v>0.474</v>
      </c>
      <c r="G10" s="6" t="n">
        <f aca="false">Text2Image_FT!H10</f>
        <v>0.487</v>
      </c>
      <c r="H10" s="6" t="n">
        <f aca="false">G10-F10</f>
        <v>0.013</v>
      </c>
      <c r="I10" s="6" t="n">
        <f aca="false">IFERROR(H10/F10,"")</f>
        <v>0.0274261603375528</v>
      </c>
      <c r="J10" s="6" t="n">
        <f aca="false">Text2Image_Base!I10</f>
        <v>0.566</v>
      </c>
      <c r="K10" s="6" t="n">
        <f aca="false">Text2Image_FT!I10</f>
        <v>0.658</v>
      </c>
      <c r="L10" s="6" t="n">
        <f aca="false">K10-J10</f>
        <v>0.0920000000000001</v>
      </c>
      <c r="M10" s="6" t="n">
        <f aca="false">IFERROR(L10/J10,"")</f>
        <v>0.162544169611308</v>
      </c>
      <c r="N10" s="7" t="n">
        <f aca="false">Image2Text_Base!G10</f>
        <v>0.158</v>
      </c>
      <c r="O10" s="7" t="n">
        <f aca="false">Image2Text_FT!G10</f>
        <v>0.303</v>
      </c>
      <c r="P10" s="7" t="n">
        <f aca="false">O10-N10</f>
        <v>0.145</v>
      </c>
      <c r="Q10" s="7" t="n">
        <f aca="false">IFERROR(P10/N10,"")</f>
        <v>0.917721518987342</v>
      </c>
      <c r="R10" s="7" t="n">
        <f aca="false">Image2Text_Base!H10</f>
        <v>0.382</v>
      </c>
      <c r="S10" s="7" t="n">
        <f aca="false">Image2Text_FT!H10</f>
        <v>0.566</v>
      </c>
      <c r="T10" s="7" t="n">
        <f aca="false">S10-R10</f>
        <v>0.184</v>
      </c>
      <c r="U10" s="7" t="n">
        <f aca="false">IFERROR(T10/R10,"")</f>
        <v>0.481675392670157</v>
      </c>
      <c r="V10" s="7" t="n">
        <f aca="false">Image2Text_Base!I10</f>
        <v>0.526</v>
      </c>
      <c r="W10" s="7" t="n">
        <f aca="false">Image2Text_FT!I10</f>
        <v>0.711</v>
      </c>
      <c r="X10" s="7" t="n">
        <f aca="false">W10-V10</f>
        <v>0.185</v>
      </c>
      <c r="Y10" s="7" t="n">
        <f aca="false">IFERROR(X10/V10,"")</f>
        <v>0.35171102661597</v>
      </c>
      <c r="Z10" s="3" t="n">
        <f aca="false">Text2Image_Base!F10</f>
        <v>76</v>
      </c>
      <c r="AA10" s="3" t="str">
        <f aca="false">IF(L10&gt;=0.15,"Strong Improvement",IF(L10&gt;=0.05,"Moderate Improvement",IF(L10&gt;=-0.02,"Marginal/Flat","Regressed")))</f>
        <v>Moderate Improvement</v>
      </c>
      <c r="AB10" s="3" t="str">
        <f aca="false">IF(X10&gt;=0.15,"Strong Improvement",IF(X10&gt;=0.05,"Moderate Improvement",IF(X10&gt;=-0.02,"Marginal/Flat","Regressed")))</f>
        <v>Strong Improvement</v>
      </c>
      <c r="AC10" s="3" t="str">
        <f aca="false">IF(Z10&lt;70,"Low N (&lt;70)","")</f>
        <v/>
      </c>
    </row>
    <row r="11" customFormat="false" ht="15" hidden="false" customHeight="true" outlineLevel="0" collapsed="false">
      <c r="A11" s="3" t="str">
        <f aca="false">Text2Image_Base!A11</f>
        <v>KITCHEN</v>
      </c>
      <c r="B11" s="6" t="n">
        <f aca="false">Text2Image_Base!G11</f>
        <v>0.155</v>
      </c>
      <c r="C11" s="6" t="n">
        <f aca="false">Text2Image_FT!G11</f>
        <v>0.155</v>
      </c>
      <c r="D11" s="6" t="n">
        <f aca="false">C11-B11</f>
        <v>0</v>
      </c>
      <c r="E11" s="6" t="n">
        <f aca="false">IFERROR(D11/B11,"")</f>
        <v>0</v>
      </c>
      <c r="F11" s="6" t="n">
        <f aca="false">Text2Image_Base!H11</f>
        <v>0.488</v>
      </c>
      <c r="G11" s="6" t="n">
        <f aca="false">Text2Image_FT!H11</f>
        <v>0.512</v>
      </c>
      <c r="H11" s="6" t="n">
        <f aca="false">G11-F11</f>
        <v>0.024</v>
      </c>
      <c r="I11" s="6" t="n">
        <f aca="false">IFERROR(H11/F11,"")</f>
        <v>0.0491803278688525</v>
      </c>
      <c r="J11" s="6" t="n">
        <f aca="false">Text2Image_Base!I11</f>
        <v>0.619</v>
      </c>
      <c r="K11" s="6" t="n">
        <f aca="false">Text2Image_FT!I11</f>
        <v>0.679</v>
      </c>
      <c r="L11" s="6" t="n">
        <f aca="false">K11-J11</f>
        <v>0.0600000000000001</v>
      </c>
      <c r="M11" s="6" t="n">
        <f aca="false">IFERROR(L11/J11,"")</f>
        <v>0.0969305331179322</v>
      </c>
      <c r="N11" s="7" t="n">
        <f aca="false">Image2Text_Base!G11</f>
        <v>0.095</v>
      </c>
      <c r="O11" s="7" t="n">
        <f aca="false">Image2Text_FT!G11</f>
        <v>0.202</v>
      </c>
      <c r="P11" s="7" t="n">
        <f aca="false">O11-N11</f>
        <v>0.107</v>
      </c>
      <c r="Q11" s="7" t="n">
        <f aca="false">IFERROR(P11/N11,"")</f>
        <v>1.12631578947368</v>
      </c>
      <c r="R11" s="7" t="n">
        <f aca="false">Image2Text_Base!H11</f>
        <v>0.452</v>
      </c>
      <c r="S11" s="7" t="n">
        <f aca="false">Image2Text_FT!H11</f>
        <v>0.512</v>
      </c>
      <c r="T11" s="7" t="n">
        <f aca="false">S11-R11</f>
        <v>0.06</v>
      </c>
      <c r="U11" s="7" t="n">
        <f aca="false">IFERROR(T11/R11,"")</f>
        <v>0.132743362831858</v>
      </c>
      <c r="V11" s="7" t="n">
        <f aca="false">Image2Text_Base!I11</f>
        <v>0.607</v>
      </c>
      <c r="W11" s="7" t="n">
        <f aca="false">Image2Text_FT!I11</f>
        <v>0.679</v>
      </c>
      <c r="X11" s="7" t="n">
        <f aca="false">W11-V11</f>
        <v>0.0720000000000001</v>
      </c>
      <c r="Y11" s="7" t="n">
        <f aca="false">IFERROR(X11/V11,"")</f>
        <v>0.118616144975288</v>
      </c>
      <c r="Z11" s="3" t="n">
        <f aca="false">Text2Image_Base!F11</f>
        <v>84</v>
      </c>
      <c r="AA11" s="3" t="str">
        <f aca="false">IF(L11&gt;=0.15,"Strong Improvement",IF(L11&gt;=0.05,"Moderate Improvement",IF(L11&gt;=-0.02,"Marginal/Flat","Regressed")))</f>
        <v>Moderate Improvement</v>
      </c>
      <c r="AB11" s="3" t="str">
        <f aca="false">IF(X11&gt;=0.15,"Strong Improvement",IF(X11&gt;=0.05,"Moderate Improvement",IF(X11&gt;=-0.02,"Marginal/Flat","Regressed")))</f>
        <v>Moderate Improvement</v>
      </c>
      <c r="AC11" s="3" t="str">
        <f aca="false">IF(Z11&lt;70,"Low N (&lt;70)","")</f>
        <v/>
      </c>
    </row>
    <row r="12" customFormat="false" ht="15" hidden="false" customHeight="true" outlineLevel="0" collapsed="false">
      <c r="A12" s="3" t="str">
        <f aca="false">Text2Image_Base!A12</f>
        <v>HOME_FURNITURE_AND_DECOR</v>
      </c>
      <c r="B12" s="6" t="n">
        <f aca="false">Text2Image_Base!G12</f>
        <v>0.111</v>
      </c>
      <c r="C12" s="6" t="n">
        <f aca="false">Text2Image_FT!G12</f>
        <v>0.116</v>
      </c>
      <c r="D12" s="6" t="n">
        <f aca="false">C12-B12</f>
        <v>0.005</v>
      </c>
      <c r="E12" s="6" t="n">
        <f aca="false">IFERROR(D12/B12,"")</f>
        <v>0.0450450450450451</v>
      </c>
      <c r="F12" s="6" t="n">
        <f aca="false">Text2Image_Base!H12</f>
        <v>0.187</v>
      </c>
      <c r="G12" s="6" t="n">
        <f aca="false">Text2Image_FT!H12</f>
        <v>0.298</v>
      </c>
      <c r="H12" s="6" t="n">
        <f aca="false">G12-F12</f>
        <v>0.111</v>
      </c>
      <c r="I12" s="6" t="n">
        <f aca="false">IFERROR(H12/F12,"")</f>
        <v>0.593582887700535</v>
      </c>
      <c r="J12" s="6" t="n">
        <f aca="false">Text2Image_Base!I12</f>
        <v>0.263</v>
      </c>
      <c r="K12" s="6" t="n">
        <f aca="false">Text2Image_FT!I12</f>
        <v>0.424</v>
      </c>
      <c r="L12" s="6" t="n">
        <f aca="false">K12-J12</f>
        <v>0.161</v>
      </c>
      <c r="M12" s="6" t="n">
        <f aca="false">IFERROR(L12/J12,"")</f>
        <v>0.612167300380228</v>
      </c>
      <c r="N12" s="7" t="n">
        <f aca="false">Image2Text_Base!G12</f>
        <v>0.091</v>
      </c>
      <c r="O12" s="7" t="n">
        <f aca="false">Image2Text_FT!G12</f>
        <v>0.121</v>
      </c>
      <c r="P12" s="7" t="n">
        <f aca="false">O12-N12</f>
        <v>0.03</v>
      </c>
      <c r="Q12" s="7" t="n">
        <f aca="false">IFERROR(P12/N12,"")</f>
        <v>0.32967032967033</v>
      </c>
      <c r="R12" s="7" t="n">
        <f aca="false">Image2Text_Base!H12</f>
        <v>0.177</v>
      </c>
      <c r="S12" s="7" t="n">
        <f aca="false">Image2Text_FT!H12</f>
        <v>0.258</v>
      </c>
      <c r="T12" s="7" t="n">
        <f aca="false">S12-R12</f>
        <v>0.081</v>
      </c>
      <c r="U12" s="7" t="n">
        <f aca="false">IFERROR(T12/R12,"")</f>
        <v>0.457627118644068</v>
      </c>
      <c r="V12" s="7" t="n">
        <f aca="false">Image2Text_Base!I12</f>
        <v>0.253</v>
      </c>
      <c r="W12" s="7" t="n">
        <f aca="false">Image2Text_FT!I12</f>
        <v>0.348</v>
      </c>
      <c r="X12" s="7" t="n">
        <f aca="false">W12-V12</f>
        <v>0.095</v>
      </c>
      <c r="Y12" s="7" t="n">
        <f aca="false">IFERROR(X12/V12,"")</f>
        <v>0.375494071146245</v>
      </c>
      <c r="Z12" s="3" t="n">
        <f aca="false">Text2Image_Base!F12</f>
        <v>198</v>
      </c>
      <c r="AA12" s="3" t="str">
        <f aca="false">IF(L12&gt;=0.15,"Strong Improvement",IF(L12&gt;=0.05,"Moderate Improvement",IF(L12&gt;=-0.02,"Marginal/Flat","Regressed")))</f>
        <v>Strong Improvement</v>
      </c>
      <c r="AB12" s="3" t="str">
        <f aca="false">IF(X12&gt;=0.15,"Strong Improvement",IF(X12&gt;=0.05,"Moderate Improvement",IF(X12&gt;=-0.02,"Marginal/Flat","Regressed")))</f>
        <v>Moderate Improvement</v>
      </c>
      <c r="AC12" s="3" t="str">
        <f aca="false">IF(Z12&lt;70,"Low N (&lt;70)","")</f>
        <v/>
      </c>
    </row>
    <row r="13" customFormat="false" ht="15" hidden="false" customHeight="true" outlineLevel="0" collapsed="false">
      <c r="A13" s="3" t="str">
        <f aca="false">Text2Image_Base!A13</f>
        <v>FINENECKLACEBRACELETANKLET</v>
      </c>
      <c r="B13" s="6" t="n">
        <f aca="false">Text2Image_Base!G13</f>
        <v>0.178</v>
      </c>
      <c r="C13" s="6" t="n">
        <f aca="false">Text2Image_FT!G13</f>
        <v>0.252</v>
      </c>
      <c r="D13" s="6" t="n">
        <f aca="false">C13-B13</f>
        <v>0.074</v>
      </c>
      <c r="E13" s="6" t="n">
        <f aca="false">IFERROR(D13/B13,"")</f>
        <v>0.415730337078652</v>
      </c>
      <c r="F13" s="6" t="n">
        <f aca="false">Text2Image_Base!H13</f>
        <v>0.368</v>
      </c>
      <c r="G13" s="6" t="n">
        <f aca="false">Text2Image_FT!H13</f>
        <v>0.448</v>
      </c>
      <c r="H13" s="6" t="n">
        <f aca="false">G13-F13</f>
        <v>0.08</v>
      </c>
      <c r="I13" s="6" t="n">
        <f aca="false">IFERROR(H13/F13,"")</f>
        <v>0.217391304347826</v>
      </c>
      <c r="J13" s="6" t="n">
        <f aca="false">Text2Image_Base!I13</f>
        <v>0.485</v>
      </c>
      <c r="K13" s="6" t="n">
        <f aca="false">Text2Image_FT!I13</f>
        <v>0.564</v>
      </c>
      <c r="L13" s="6" t="n">
        <f aca="false">K13-J13</f>
        <v>0.079</v>
      </c>
      <c r="M13" s="6" t="n">
        <f aca="false">IFERROR(L13/J13,"")</f>
        <v>0.162886597938144</v>
      </c>
      <c r="N13" s="7" t="n">
        <f aca="false">Image2Text_Base!G13</f>
        <v>0.196</v>
      </c>
      <c r="O13" s="7" t="n">
        <f aca="false">Image2Text_FT!G13</f>
        <v>0.184</v>
      </c>
      <c r="P13" s="7" t="n">
        <f aca="false">O13-N13</f>
        <v>-0.012</v>
      </c>
      <c r="Q13" s="7" t="n">
        <f aca="false">IFERROR(P13/N13,"")</f>
        <v>-0.0612244897959184</v>
      </c>
      <c r="R13" s="7" t="n">
        <f aca="false">Image2Text_Base!H13</f>
        <v>0.368</v>
      </c>
      <c r="S13" s="7" t="n">
        <f aca="false">Image2Text_FT!H13</f>
        <v>0.393</v>
      </c>
      <c r="T13" s="7" t="n">
        <f aca="false">S13-R13</f>
        <v>0.025</v>
      </c>
      <c r="U13" s="7" t="n">
        <f aca="false">IFERROR(T13/R13,"")</f>
        <v>0.0679347826086957</v>
      </c>
      <c r="V13" s="7" t="n">
        <f aca="false">Image2Text_Base!I13</f>
        <v>0.491</v>
      </c>
      <c r="W13" s="7" t="n">
        <f aca="false">Image2Text_FT!I13</f>
        <v>0.528</v>
      </c>
      <c r="X13" s="7" t="n">
        <f aca="false">W13-V13</f>
        <v>0.037</v>
      </c>
      <c r="Y13" s="7" t="n">
        <f aca="false">IFERROR(X13/V13,"")</f>
        <v>0.0753564154786151</v>
      </c>
      <c r="Z13" s="3" t="n">
        <f aca="false">Text2Image_Base!F13</f>
        <v>163</v>
      </c>
      <c r="AA13" s="3" t="str">
        <f aca="false">IF(L13&gt;=0.15,"Strong Improvement",IF(L13&gt;=0.05,"Moderate Improvement",IF(L13&gt;=-0.02,"Marginal/Flat","Regressed")))</f>
        <v>Moderate Improvement</v>
      </c>
      <c r="AB13" s="3" t="str">
        <f aca="false">IF(X13&gt;=0.15,"Strong Improvement",IF(X13&gt;=0.05,"Moderate Improvement",IF(X13&gt;=-0.02,"Marginal/Flat","Regressed")))</f>
        <v>Marginal/Flat</v>
      </c>
      <c r="AC13" s="3" t="str">
        <f aca="false">IF(Z13&lt;70,"Low N (&lt;70)","")</f>
        <v/>
      </c>
    </row>
    <row r="14" customFormat="false" ht="15" hidden="false" customHeight="true" outlineLevel="0" collapsed="false">
      <c r="A14" s="3" t="str">
        <f aca="false">Text2Image_Base!A14</f>
        <v>CHAIR</v>
      </c>
      <c r="B14" s="6" t="n">
        <f aca="false">Text2Image_Base!G14</f>
        <v>0.058</v>
      </c>
      <c r="C14" s="6" t="n">
        <f aca="false">Text2Image_FT!G14</f>
        <v>0.105</v>
      </c>
      <c r="D14" s="6" t="n">
        <f aca="false">C14-B14</f>
        <v>0.047</v>
      </c>
      <c r="E14" s="6" t="n">
        <f aca="false">IFERROR(D14/B14,"")</f>
        <v>0.810344827586207</v>
      </c>
      <c r="F14" s="6" t="n">
        <f aca="false">Text2Image_Base!H14</f>
        <v>0.184</v>
      </c>
      <c r="G14" s="6" t="n">
        <f aca="false">Text2Image_FT!H14</f>
        <v>0.296</v>
      </c>
      <c r="H14" s="6" t="n">
        <f aca="false">G14-F14</f>
        <v>0.112</v>
      </c>
      <c r="I14" s="6" t="n">
        <f aca="false">IFERROR(H14/F14,"")</f>
        <v>0.608695652173913</v>
      </c>
      <c r="J14" s="6" t="n">
        <f aca="false">Text2Image_Base!I14</f>
        <v>0.26</v>
      </c>
      <c r="K14" s="6" t="n">
        <f aca="false">Text2Image_FT!I14</f>
        <v>0.43</v>
      </c>
      <c r="L14" s="6" t="n">
        <f aca="false">K14-J14</f>
        <v>0.17</v>
      </c>
      <c r="M14" s="6" t="n">
        <f aca="false">IFERROR(L14/J14,"")</f>
        <v>0.653846153846154</v>
      </c>
      <c r="N14" s="7" t="n">
        <f aca="false">Image2Text_Base!G14</f>
        <v>0.061</v>
      </c>
      <c r="O14" s="7" t="n">
        <f aca="false">Image2Text_FT!G14</f>
        <v>0.069</v>
      </c>
      <c r="P14" s="7" t="n">
        <f aca="false">O14-N14</f>
        <v>0.00800000000000001</v>
      </c>
      <c r="Q14" s="7" t="n">
        <f aca="false">IFERROR(P14/N14,"")</f>
        <v>0.131147540983607</v>
      </c>
      <c r="R14" s="7" t="n">
        <f aca="false">Image2Text_Base!H14</f>
        <v>0.166</v>
      </c>
      <c r="S14" s="7" t="n">
        <f aca="false">Image2Text_FT!H14</f>
        <v>0.256</v>
      </c>
      <c r="T14" s="7" t="n">
        <f aca="false">S14-R14</f>
        <v>0.09</v>
      </c>
      <c r="U14" s="7" t="n">
        <f aca="false">IFERROR(T14/R14,"")</f>
        <v>0.542168674698795</v>
      </c>
      <c r="V14" s="7" t="n">
        <f aca="false">Image2Text_Base!I14</f>
        <v>0.238</v>
      </c>
      <c r="W14" s="7" t="n">
        <f aca="false">Image2Text_FT!I14</f>
        <v>0.339</v>
      </c>
      <c r="X14" s="7" t="n">
        <f aca="false">W14-V14</f>
        <v>0.101</v>
      </c>
      <c r="Y14" s="7" t="n">
        <f aca="false">IFERROR(X14/V14,"")</f>
        <v>0.42436974789916</v>
      </c>
      <c r="Z14" s="3" t="n">
        <f aca="false">Text2Image_Base!F14</f>
        <v>277</v>
      </c>
      <c r="AA14" s="3" t="str">
        <f aca="false">IF(L14&gt;=0.15,"Strong Improvement",IF(L14&gt;=0.05,"Moderate Improvement",IF(L14&gt;=-0.02,"Marginal/Flat","Regressed")))</f>
        <v>Strong Improvement</v>
      </c>
      <c r="AB14" s="3" t="str">
        <f aca="false">IF(X14&gt;=0.15,"Strong Improvement",IF(X14&gt;=0.05,"Moderate Improvement",IF(X14&gt;=-0.02,"Marginal/Flat","Regressed")))</f>
        <v>Moderate Improvement</v>
      </c>
      <c r="AC14" s="3" t="str">
        <f aca="false">IF(Z14&lt;70,"Low N (&lt;70)","")</f>
        <v/>
      </c>
    </row>
    <row r="15" customFormat="false" ht="15" hidden="false" customHeight="true" outlineLevel="0" collapsed="false">
      <c r="A15" s="3" t="str">
        <f aca="false">Text2Image_Base!A15</f>
        <v>WALL_ART</v>
      </c>
      <c r="B15" s="6" t="n">
        <f aca="false">Text2Image_Base!G15</f>
        <v>0.293</v>
      </c>
      <c r="C15" s="6" t="n">
        <f aca="false">Text2Image_FT!G15</f>
        <v>0.457</v>
      </c>
      <c r="D15" s="6" t="n">
        <f aca="false">C15-B15</f>
        <v>0.164</v>
      </c>
      <c r="E15" s="6" t="n">
        <f aca="false">IFERROR(D15/B15,"")</f>
        <v>0.559726962457338</v>
      </c>
      <c r="F15" s="6" t="n">
        <f aca="false">Text2Image_Base!H15</f>
        <v>0.87</v>
      </c>
      <c r="G15" s="6" t="n">
        <f aca="false">Text2Image_FT!H15</f>
        <v>0.837</v>
      </c>
      <c r="H15" s="6" t="n">
        <f aca="false">G15-F15</f>
        <v>-0.033</v>
      </c>
      <c r="I15" s="6" t="n">
        <f aca="false">IFERROR(H15/F15,"")</f>
        <v>-0.0379310344827587</v>
      </c>
      <c r="J15" s="6" t="n">
        <f aca="false">Text2Image_Base!I15</f>
        <v>0.902</v>
      </c>
      <c r="K15" s="6" t="n">
        <f aca="false">Text2Image_FT!I15</f>
        <v>0.924</v>
      </c>
      <c r="L15" s="6" t="n">
        <f aca="false">K15-J15</f>
        <v>0.022</v>
      </c>
      <c r="M15" s="6" t="n">
        <f aca="false">IFERROR(L15/J15,"")</f>
        <v>0.024390243902439</v>
      </c>
      <c r="N15" s="7" t="n">
        <f aca="false">Image2Text_Base!G15</f>
        <v>0.337</v>
      </c>
      <c r="O15" s="7" t="n">
        <f aca="false">Image2Text_FT!G15</f>
        <v>0.402</v>
      </c>
      <c r="P15" s="7" t="n">
        <f aca="false">O15-N15</f>
        <v>0.065</v>
      </c>
      <c r="Q15" s="7" t="n">
        <f aca="false">IFERROR(P15/N15,"")</f>
        <v>0.192878338278932</v>
      </c>
      <c r="R15" s="7" t="n">
        <f aca="false">Image2Text_Base!H15</f>
        <v>0.728</v>
      </c>
      <c r="S15" s="7" t="n">
        <f aca="false">Image2Text_FT!H15</f>
        <v>0.902</v>
      </c>
      <c r="T15" s="7" t="n">
        <f aca="false">S15-R15</f>
        <v>0.174</v>
      </c>
      <c r="U15" s="7" t="n">
        <f aca="false">IFERROR(T15/R15,"")</f>
        <v>0.239010989010989</v>
      </c>
      <c r="V15" s="7" t="n">
        <f aca="false">Image2Text_Base!I15</f>
        <v>0.837</v>
      </c>
      <c r="W15" s="7" t="n">
        <f aca="false">Image2Text_FT!I15</f>
        <v>0.946</v>
      </c>
      <c r="X15" s="7" t="n">
        <f aca="false">W15-V15</f>
        <v>0.109</v>
      </c>
      <c r="Y15" s="7" t="n">
        <f aca="false">IFERROR(X15/V15,"")</f>
        <v>0.130227001194743</v>
      </c>
      <c r="Z15" s="3" t="n">
        <f aca="false">Text2Image_Base!F15</f>
        <v>92</v>
      </c>
      <c r="AA15" s="3" t="str">
        <f aca="false">IF(L15&gt;=0.15,"Strong Improvement",IF(L15&gt;=0.05,"Moderate Improvement",IF(L15&gt;=-0.02,"Marginal/Flat","Regressed")))</f>
        <v>Marginal/Flat</v>
      </c>
      <c r="AB15" s="3" t="str">
        <f aca="false">IF(X15&gt;=0.15,"Strong Improvement",IF(X15&gt;=0.05,"Moderate Improvement",IF(X15&gt;=-0.02,"Marginal/Flat","Regressed")))</f>
        <v>Moderate Improvement</v>
      </c>
      <c r="AC15" s="3" t="str">
        <f aca="false">IF(Z15&lt;70,"Low N (&lt;70)","")</f>
        <v/>
      </c>
    </row>
    <row r="16" customFormat="false" ht="15" hidden="false" customHeight="true" outlineLevel="0" collapsed="false">
      <c r="A16" s="3" t="str">
        <f aca="false">Text2Image_Base!A16</f>
        <v>LIGHT_BULB</v>
      </c>
      <c r="B16" s="6" t="n">
        <f aca="false">Text2Image_Base!G16</f>
        <v>0.047</v>
      </c>
      <c r="C16" s="6" t="n">
        <f aca="false">Text2Image_FT!G16</f>
        <v>0.125</v>
      </c>
      <c r="D16" s="6" t="n">
        <f aca="false">C16-B16</f>
        <v>0.078</v>
      </c>
      <c r="E16" s="6" t="n">
        <f aca="false">IFERROR(D16/B16,"")</f>
        <v>1.65957446808511</v>
      </c>
      <c r="F16" s="6" t="n">
        <f aca="false">Text2Image_Base!H16</f>
        <v>0.172</v>
      </c>
      <c r="G16" s="6" t="n">
        <f aca="false">Text2Image_FT!H16</f>
        <v>0.219</v>
      </c>
      <c r="H16" s="6" t="n">
        <f aca="false">G16-F16</f>
        <v>0.047</v>
      </c>
      <c r="I16" s="6" t="n">
        <f aca="false">IFERROR(H16/F16,"")</f>
        <v>0.273255813953488</v>
      </c>
      <c r="J16" s="6" t="n">
        <f aca="false">Text2Image_Base!I16</f>
        <v>0.281</v>
      </c>
      <c r="K16" s="6" t="n">
        <f aca="false">Text2Image_FT!I16</f>
        <v>0.344</v>
      </c>
      <c r="L16" s="6" t="n">
        <f aca="false">K16-J16</f>
        <v>0.0629999999999999</v>
      </c>
      <c r="M16" s="6" t="n">
        <f aca="false">IFERROR(L16/J16,"")</f>
        <v>0.224199288256228</v>
      </c>
      <c r="N16" s="7" t="n">
        <f aca="false">Image2Text_Base!G16</f>
        <v>0.031</v>
      </c>
      <c r="O16" s="7" t="n">
        <f aca="false">Image2Text_FT!G16</f>
        <v>0.109</v>
      </c>
      <c r="P16" s="7" t="n">
        <f aca="false">O16-N16</f>
        <v>0.078</v>
      </c>
      <c r="Q16" s="7" t="n">
        <f aca="false">IFERROR(P16/N16,"")</f>
        <v>2.51612903225806</v>
      </c>
      <c r="R16" s="7" t="n">
        <f aca="false">Image2Text_Base!H16</f>
        <v>0.062</v>
      </c>
      <c r="S16" s="7" t="n">
        <f aca="false">Image2Text_FT!H16</f>
        <v>0.234</v>
      </c>
      <c r="T16" s="7" t="n">
        <f aca="false">S16-R16</f>
        <v>0.172</v>
      </c>
      <c r="U16" s="7" t="n">
        <f aca="false">IFERROR(T16/R16,"")</f>
        <v>2.7741935483871</v>
      </c>
      <c r="V16" s="7" t="n">
        <f aca="false">Image2Text_Base!I16</f>
        <v>0.109</v>
      </c>
      <c r="W16" s="7" t="n">
        <f aca="false">Image2Text_FT!I16</f>
        <v>0.328</v>
      </c>
      <c r="X16" s="7" t="n">
        <f aca="false">W16-V16</f>
        <v>0.219</v>
      </c>
      <c r="Y16" s="7" t="n">
        <f aca="false">IFERROR(X16/V16,"")</f>
        <v>2.00917431192661</v>
      </c>
      <c r="Z16" s="3" t="n">
        <f aca="false">Text2Image_Base!F16</f>
        <v>64</v>
      </c>
      <c r="AA16" s="3" t="str">
        <f aca="false">IF(L16&gt;=0.15,"Strong Improvement",IF(L16&gt;=0.05,"Moderate Improvement",IF(L16&gt;=-0.02,"Marginal/Flat","Regressed")))</f>
        <v>Moderate Improvement</v>
      </c>
      <c r="AB16" s="3" t="str">
        <f aca="false">IF(X16&gt;=0.15,"Strong Improvement",IF(X16&gt;=0.05,"Moderate Improvement",IF(X16&gt;=-0.02,"Marginal/Flat","Regressed")))</f>
        <v>Strong Improvement</v>
      </c>
      <c r="AC16" s="3" t="str">
        <f aca="false">IF(Z16&lt;70,"Low N (&lt;70)","")</f>
        <v>Low N (&lt;70)</v>
      </c>
    </row>
    <row r="17" customFormat="false" ht="15" hidden="false" customHeight="true" outlineLevel="0" collapsed="false">
      <c r="A17" s="3" t="str">
        <f aca="false">Text2Image_Base!A17</f>
        <v>STOOL_SEATING</v>
      </c>
      <c r="B17" s="6" t="n">
        <f aca="false">Text2Image_Base!G17</f>
        <v>0.09</v>
      </c>
      <c r="C17" s="6" t="n">
        <f aca="false">Text2Image_FT!G17</f>
        <v>0.075</v>
      </c>
      <c r="D17" s="6" t="n">
        <f aca="false">C17-B17</f>
        <v>-0.015</v>
      </c>
      <c r="E17" s="6" t="n">
        <f aca="false">IFERROR(D17/B17,"")</f>
        <v>-0.166666666666667</v>
      </c>
      <c r="F17" s="6" t="n">
        <f aca="false">Text2Image_Base!H17</f>
        <v>0.179</v>
      </c>
      <c r="G17" s="6" t="n">
        <f aca="false">Text2Image_FT!H17</f>
        <v>0.209</v>
      </c>
      <c r="H17" s="6" t="n">
        <f aca="false">G17-F17</f>
        <v>0.03</v>
      </c>
      <c r="I17" s="6" t="n">
        <f aca="false">IFERROR(H17/F17,"")</f>
        <v>0.167597765363128</v>
      </c>
      <c r="J17" s="6" t="n">
        <f aca="false">Text2Image_Base!I17</f>
        <v>0.239</v>
      </c>
      <c r="K17" s="6" t="n">
        <f aca="false">Text2Image_FT!I17</f>
        <v>0.313</v>
      </c>
      <c r="L17" s="6" t="n">
        <f aca="false">K17-J17</f>
        <v>0.074</v>
      </c>
      <c r="M17" s="6" t="n">
        <f aca="false">IFERROR(L17/J17,"")</f>
        <v>0.309623430962343</v>
      </c>
      <c r="N17" s="7" t="n">
        <f aca="false">Image2Text_Base!G17</f>
        <v>0.045</v>
      </c>
      <c r="O17" s="7" t="n">
        <f aca="false">Image2Text_FT!G17</f>
        <v>0.119</v>
      </c>
      <c r="P17" s="7" t="n">
        <f aca="false">O17-N17</f>
        <v>0.074</v>
      </c>
      <c r="Q17" s="7" t="n">
        <f aca="false">IFERROR(P17/N17,"")</f>
        <v>1.64444444444444</v>
      </c>
      <c r="R17" s="7" t="n">
        <f aca="false">Image2Text_Base!H17</f>
        <v>0.134</v>
      </c>
      <c r="S17" s="7" t="n">
        <f aca="false">Image2Text_FT!H17</f>
        <v>0.313</v>
      </c>
      <c r="T17" s="7" t="n">
        <f aca="false">S17-R17</f>
        <v>0.179</v>
      </c>
      <c r="U17" s="7" t="n">
        <f aca="false">IFERROR(T17/R17,"")</f>
        <v>1.33582089552239</v>
      </c>
      <c r="V17" s="7" t="n">
        <f aca="false">Image2Text_Base!I17</f>
        <v>0.299</v>
      </c>
      <c r="W17" s="7" t="n">
        <f aca="false">Image2Text_FT!I17</f>
        <v>0.448</v>
      </c>
      <c r="X17" s="7" t="n">
        <f aca="false">W17-V17</f>
        <v>0.149</v>
      </c>
      <c r="Y17" s="7" t="n">
        <f aca="false">IFERROR(X17/V17,"")</f>
        <v>0.498327759197325</v>
      </c>
      <c r="Z17" s="3" t="n">
        <f aca="false">Text2Image_Base!F17</f>
        <v>67</v>
      </c>
      <c r="AA17" s="3" t="str">
        <f aca="false">IF(L17&gt;=0.15,"Strong Improvement",IF(L17&gt;=0.05,"Moderate Improvement",IF(L17&gt;=-0.02,"Marginal/Flat","Regressed")))</f>
        <v>Moderate Improvement</v>
      </c>
      <c r="AB17" s="3" t="str">
        <f aca="false">IF(X17&gt;=0.15,"Strong Improvement",IF(X17&gt;=0.05,"Moderate Improvement",IF(X17&gt;=-0.02,"Marginal/Flat","Regressed")))</f>
        <v>Moderate Improvement</v>
      </c>
      <c r="AC17" s="3" t="str">
        <f aca="false">IF(Z17&lt;70,"Low N (&lt;70)","")</f>
        <v>Low N (&lt;70)</v>
      </c>
    </row>
    <row r="18" customFormat="false" ht="15" hidden="false" customHeight="true" outlineLevel="0" collapsed="false">
      <c r="A18" s="3" t="str">
        <f aca="false">Text2Image_Base!A18</f>
        <v>SOFA</v>
      </c>
      <c r="B18" s="6" t="n">
        <f aca="false">Text2Image_Base!G18</f>
        <v>0.018</v>
      </c>
      <c r="C18" s="6" t="n">
        <f aca="false">Text2Image_FT!G18</f>
        <v>0.067</v>
      </c>
      <c r="D18" s="6" t="n">
        <f aca="false">C18-B18</f>
        <v>0.049</v>
      </c>
      <c r="E18" s="6" t="n">
        <f aca="false">IFERROR(D18/B18,"")</f>
        <v>2.72222222222222</v>
      </c>
      <c r="F18" s="6" t="n">
        <f aca="false">Text2Image_Base!H18</f>
        <v>0.097</v>
      </c>
      <c r="G18" s="6" t="n">
        <f aca="false">Text2Image_FT!H18</f>
        <v>0.212</v>
      </c>
      <c r="H18" s="6" t="n">
        <f aca="false">G18-F18</f>
        <v>0.115</v>
      </c>
      <c r="I18" s="6" t="n">
        <f aca="false">IFERROR(H18/F18,"")</f>
        <v>1.18556701030928</v>
      </c>
      <c r="J18" s="6" t="n">
        <f aca="false">Text2Image_Base!I18</f>
        <v>0.133</v>
      </c>
      <c r="K18" s="6" t="n">
        <f aca="false">Text2Image_FT!I18</f>
        <v>0.352</v>
      </c>
      <c r="L18" s="6" t="n">
        <f aca="false">K18-J18</f>
        <v>0.219</v>
      </c>
      <c r="M18" s="6" t="n">
        <f aca="false">IFERROR(L18/J18,"")</f>
        <v>1.64661654135338</v>
      </c>
      <c r="N18" s="7" t="n">
        <f aca="false">Image2Text_Base!G18</f>
        <v>0.036</v>
      </c>
      <c r="O18" s="7" t="n">
        <f aca="false">Image2Text_FT!G18</f>
        <v>0.055</v>
      </c>
      <c r="P18" s="7" t="n">
        <f aca="false">O18-N18</f>
        <v>0.019</v>
      </c>
      <c r="Q18" s="7" t="n">
        <f aca="false">IFERROR(P18/N18,"")</f>
        <v>0.527777777777778</v>
      </c>
      <c r="R18" s="7" t="n">
        <f aca="false">Image2Text_Base!H18</f>
        <v>0.109</v>
      </c>
      <c r="S18" s="7" t="n">
        <f aca="false">Image2Text_FT!H18</f>
        <v>0.194</v>
      </c>
      <c r="T18" s="7" t="n">
        <f aca="false">S18-R18</f>
        <v>0.085</v>
      </c>
      <c r="U18" s="7" t="n">
        <f aca="false">IFERROR(T18/R18,"")</f>
        <v>0.779816513761468</v>
      </c>
      <c r="V18" s="7" t="n">
        <f aca="false">Image2Text_Base!I18</f>
        <v>0.17</v>
      </c>
      <c r="W18" s="7" t="n">
        <f aca="false">Image2Text_FT!I18</f>
        <v>0.327</v>
      </c>
      <c r="X18" s="7" t="n">
        <f aca="false">W18-V18</f>
        <v>0.157</v>
      </c>
      <c r="Y18" s="7" t="n">
        <f aca="false">IFERROR(X18/V18,"")</f>
        <v>0.923529411764706</v>
      </c>
      <c r="Z18" s="3" t="n">
        <f aca="false">Text2Image_Base!F18</f>
        <v>165</v>
      </c>
      <c r="AA18" s="3" t="str">
        <f aca="false">IF(L18&gt;=0.15,"Strong Improvement",IF(L18&gt;=0.05,"Moderate Improvement",IF(L18&gt;=-0.02,"Marginal/Flat","Regressed")))</f>
        <v>Strong Improvement</v>
      </c>
      <c r="AB18" s="3" t="str">
        <f aca="false">IF(X18&gt;=0.15,"Strong Improvement",IF(X18&gt;=0.05,"Moderate Improvement",IF(X18&gt;=-0.02,"Marginal/Flat","Regressed")))</f>
        <v>Strong Improvement</v>
      </c>
      <c r="AC18" s="3" t="str">
        <f aca="false">IF(Z18&lt;70,"Low N (&lt;70)","")</f>
        <v/>
      </c>
    </row>
    <row r="19" customFormat="false" ht="15" hidden="false" customHeight="true" outlineLevel="0" collapsed="false">
      <c r="A19" s="3" t="str">
        <f aca="false">Text2Image_Base!A19</f>
        <v>HEALTH_PERSONAL_CARE</v>
      </c>
      <c r="B19" s="6" t="n">
        <f aca="false">Text2Image_Base!G19</f>
        <v>0.265</v>
      </c>
      <c r="C19" s="6" t="n">
        <f aca="false">Text2Image_FT!G19</f>
        <v>0.308</v>
      </c>
      <c r="D19" s="6" t="n">
        <f aca="false">C19-B19</f>
        <v>0.043</v>
      </c>
      <c r="E19" s="6" t="n">
        <f aca="false">IFERROR(D19/B19,"")</f>
        <v>0.162264150943396</v>
      </c>
      <c r="F19" s="6" t="n">
        <f aca="false">Text2Image_Base!H19</f>
        <v>0.535</v>
      </c>
      <c r="G19" s="6" t="n">
        <f aca="false">Text2Image_FT!H19</f>
        <v>0.665</v>
      </c>
      <c r="H19" s="6" t="n">
        <f aca="false">G19-F19</f>
        <v>0.13</v>
      </c>
      <c r="I19" s="6" t="n">
        <f aca="false">IFERROR(H19/F19,"")</f>
        <v>0.242990654205607</v>
      </c>
      <c r="J19" s="6" t="n">
        <f aca="false">Text2Image_Base!I19</f>
        <v>0.638</v>
      </c>
      <c r="K19" s="6" t="n">
        <f aca="false">Text2Image_FT!I19</f>
        <v>0.795</v>
      </c>
      <c r="L19" s="6" t="n">
        <f aca="false">K19-J19</f>
        <v>0.157</v>
      </c>
      <c r="M19" s="6" t="n">
        <f aca="false">IFERROR(L19/J19,"")</f>
        <v>0.246081504702194</v>
      </c>
      <c r="N19" s="7" t="n">
        <f aca="false">Image2Text_Base!G19</f>
        <v>0.205</v>
      </c>
      <c r="O19" s="7" t="n">
        <f aca="false">Image2Text_FT!G19</f>
        <v>0.303</v>
      </c>
      <c r="P19" s="7" t="n">
        <f aca="false">O19-N19</f>
        <v>0.098</v>
      </c>
      <c r="Q19" s="7" t="n">
        <f aca="false">IFERROR(P19/N19,"")</f>
        <v>0.478048780487805</v>
      </c>
      <c r="R19" s="7" t="n">
        <f aca="false">Image2Text_Base!H19</f>
        <v>0.514</v>
      </c>
      <c r="S19" s="7" t="n">
        <f aca="false">Image2Text_FT!H19</f>
        <v>0.681</v>
      </c>
      <c r="T19" s="7" t="n">
        <f aca="false">S19-R19</f>
        <v>0.167</v>
      </c>
      <c r="U19" s="7" t="n">
        <f aca="false">IFERROR(T19/R19,"")</f>
        <v>0.324902723735409</v>
      </c>
      <c r="V19" s="7" t="n">
        <f aca="false">Image2Text_Base!I19</f>
        <v>0.649</v>
      </c>
      <c r="W19" s="7" t="n">
        <f aca="false">Image2Text_FT!I19</f>
        <v>0.784</v>
      </c>
      <c r="X19" s="7" t="n">
        <f aca="false">W19-V19</f>
        <v>0.135</v>
      </c>
      <c r="Y19" s="7" t="n">
        <f aca="false">IFERROR(X19/V19,"")</f>
        <v>0.208012326656394</v>
      </c>
      <c r="Z19" s="3" t="n">
        <f aca="false">Text2Image_Base!F19</f>
        <v>185</v>
      </c>
      <c r="AA19" s="3" t="str">
        <f aca="false">IF(L19&gt;=0.15,"Strong Improvement",IF(L19&gt;=0.05,"Moderate Improvement",IF(L19&gt;=-0.02,"Marginal/Flat","Regressed")))</f>
        <v>Strong Improvement</v>
      </c>
      <c r="AB19" s="3" t="str">
        <f aca="false">IF(X19&gt;=0.15,"Strong Improvement",IF(X19&gt;=0.05,"Moderate Improvement",IF(X19&gt;=-0.02,"Marginal/Flat","Regressed")))</f>
        <v>Moderate Improvement</v>
      </c>
      <c r="AC19" s="3" t="str">
        <f aca="false">IF(Z19&lt;70,"Low N (&lt;70)","")</f>
        <v/>
      </c>
    </row>
    <row r="20" customFormat="false" ht="15" hidden="false" customHeight="true" outlineLevel="0" collapsed="false">
      <c r="A20" s="3" t="str">
        <f aca="false">Text2Image_Base!A20</f>
        <v>TABLE</v>
      </c>
      <c r="B20" s="6" t="n">
        <f aca="false">Text2Image_Base!G20</f>
        <v>0.081</v>
      </c>
      <c r="C20" s="6" t="n">
        <f aca="false">Text2Image_FT!G20</f>
        <v>0.118</v>
      </c>
      <c r="D20" s="6" t="n">
        <f aca="false">C20-B20</f>
        <v>0.037</v>
      </c>
      <c r="E20" s="6" t="n">
        <f aca="false">IFERROR(D20/B20,"")</f>
        <v>0.45679012345679</v>
      </c>
      <c r="F20" s="6" t="n">
        <f aca="false">Text2Image_Base!H20</f>
        <v>0.272</v>
      </c>
      <c r="G20" s="6" t="n">
        <f aca="false">Text2Image_FT!H20</f>
        <v>0.331</v>
      </c>
      <c r="H20" s="6" t="n">
        <f aca="false">G20-F20</f>
        <v>0.059</v>
      </c>
      <c r="I20" s="6" t="n">
        <f aca="false">IFERROR(H20/F20,"")</f>
        <v>0.216911764705882</v>
      </c>
      <c r="J20" s="6" t="n">
        <f aca="false">Text2Image_Base!I20</f>
        <v>0.368</v>
      </c>
      <c r="K20" s="6" t="n">
        <f aca="false">Text2Image_FT!I20</f>
        <v>0.522</v>
      </c>
      <c r="L20" s="6" t="n">
        <f aca="false">K20-J20</f>
        <v>0.154</v>
      </c>
      <c r="M20" s="6" t="n">
        <f aca="false">IFERROR(L20/J20,"")</f>
        <v>0.418478260869565</v>
      </c>
      <c r="N20" s="7" t="n">
        <f aca="false">Image2Text_Base!G20</f>
        <v>0.088</v>
      </c>
      <c r="O20" s="7" t="n">
        <f aca="false">Image2Text_FT!G20</f>
        <v>0.081</v>
      </c>
      <c r="P20" s="7" t="n">
        <f aca="false">O20-N20</f>
        <v>-0.00699999999999999</v>
      </c>
      <c r="Q20" s="7" t="n">
        <f aca="false">IFERROR(P20/N20,"")</f>
        <v>-0.0795454545454545</v>
      </c>
      <c r="R20" s="7" t="n">
        <f aca="false">Image2Text_Base!H20</f>
        <v>0.221</v>
      </c>
      <c r="S20" s="7" t="n">
        <f aca="false">Image2Text_FT!H20</f>
        <v>0.316</v>
      </c>
      <c r="T20" s="7" t="n">
        <f aca="false">S20-R20</f>
        <v>0.095</v>
      </c>
      <c r="U20" s="7" t="n">
        <f aca="false">IFERROR(T20/R20,"")</f>
        <v>0.429864253393665</v>
      </c>
      <c r="V20" s="7" t="n">
        <f aca="false">Image2Text_Base!I20</f>
        <v>0.331</v>
      </c>
      <c r="W20" s="7" t="n">
        <f aca="false">Image2Text_FT!I20</f>
        <v>0.412</v>
      </c>
      <c r="X20" s="7" t="n">
        <f aca="false">W20-V20</f>
        <v>0.081</v>
      </c>
      <c r="Y20" s="7" t="n">
        <f aca="false">IFERROR(X20/V20,"")</f>
        <v>0.244712990936556</v>
      </c>
      <c r="Z20" s="3" t="n">
        <f aca="false">Text2Image_Base!F20</f>
        <v>136</v>
      </c>
      <c r="AA20" s="3" t="str">
        <f aca="false">IF(L20&gt;=0.15,"Strong Improvement",IF(L20&gt;=0.05,"Moderate Improvement",IF(L20&gt;=-0.02,"Marginal/Flat","Regressed")))</f>
        <v>Strong Improvement</v>
      </c>
      <c r="AB20" s="3" t="str">
        <f aca="false">IF(X20&gt;=0.15,"Strong Improvement",IF(X20&gt;=0.05,"Moderate Improvement",IF(X20&gt;=-0.02,"Marginal/Flat","Regressed")))</f>
        <v>Moderate Improvement</v>
      </c>
      <c r="AC20" s="3" t="str">
        <f aca="false">IF(Z20&lt;70,"Low N (&lt;70)","")</f>
        <v/>
      </c>
    </row>
    <row r="21" customFormat="false" ht="15" hidden="false" customHeight="true" outlineLevel="0" collapsed="false">
      <c r="A21" s="3" t="str">
        <f aca="false">Text2Image_Base!A21</f>
        <v>HOME_BED_AND_BATH</v>
      </c>
      <c r="B21" s="6" t="n">
        <f aca="false">Text2Image_Base!G21</f>
        <v>0.102</v>
      </c>
      <c r="C21" s="6" t="n">
        <f aca="false">Text2Image_FT!G21</f>
        <v>0.153</v>
      </c>
      <c r="D21" s="6" t="n">
        <f aca="false">C21-B21</f>
        <v>0.051</v>
      </c>
      <c r="E21" s="6" t="n">
        <f aca="false">IFERROR(D21/B21,"")</f>
        <v>0.5</v>
      </c>
      <c r="F21" s="6" t="n">
        <f aca="false">Text2Image_Base!H21</f>
        <v>0.263</v>
      </c>
      <c r="G21" s="6" t="n">
        <f aca="false">Text2Image_FT!H21</f>
        <v>0.416</v>
      </c>
      <c r="H21" s="6" t="n">
        <f aca="false">G21-F21</f>
        <v>0.153</v>
      </c>
      <c r="I21" s="6" t="n">
        <f aca="false">IFERROR(H21/F21,"")</f>
        <v>0.581749049429658</v>
      </c>
      <c r="J21" s="6" t="n">
        <f aca="false">Text2Image_Base!I21</f>
        <v>0.372</v>
      </c>
      <c r="K21" s="6" t="n">
        <f aca="false">Text2Image_FT!I21</f>
        <v>0.555</v>
      </c>
      <c r="L21" s="6" t="n">
        <f aca="false">K21-J21</f>
        <v>0.183</v>
      </c>
      <c r="M21" s="6" t="n">
        <f aca="false">IFERROR(L21/J21,"")</f>
        <v>0.491935483870968</v>
      </c>
      <c r="N21" s="7" t="n">
        <f aca="false">Image2Text_Base!G21</f>
        <v>0.08</v>
      </c>
      <c r="O21" s="7" t="n">
        <f aca="false">Image2Text_FT!G21</f>
        <v>0.139</v>
      </c>
      <c r="P21" s="7" t="n">
        <f aca="false">O21-N21</f>
        <v>0.059</v>
      </c>
      <c r="Q21" s="7" t="n">
        <f aca="false">IFERROR(P21/N21,"")</f>
        <v>0.7375</v>
      </c>
      <c r="R21" s="7" t="n">
        <f aca="false">Image2Text_Base!H21</f>
        <v>0.204</v>
      </c>
      <c r="S21" s="7" t="n">
        <f aca="false">Image2Text_FT!H21</f>
        <v>0.387</v>
      </c>
      <c r="T21" s="7" t="n">
        <f aca="false">S21-R21</f>
        <v>0.183</v>
      </c>
      <c r="U21" s="7" t="n">
        <f aca="false">IFERROR(T21/R21,"")</f>
        <v>0.897058823529412</v>
      </c>
      <c r="V21" s="7" t="n">
        <f aca="false">Image2Text_Base!I21</f>
        <v>0.321</v>
      </c>
      <c r="W21" s="7" t="n">
        <f aca="false">Image2Text_FT!I21</f>
        <v>0.526</v>
      </c>
      <c r="X21" s="7" t="n">
        <f aca="false">W21-V21</f>
        <v>0.205</v>
      </c>
      <c r="Y21" s="7" t="n">
        <f aca="false">IFERROR(X21/V21,"")</f>
        <v>0.638629283489097</v>
      </c>
      <c r="Z21" s="3" t="n">
        <f aca="false">Text2Image_Base!F21</f>
        <v>137</v>
      </c>
      <c r="AA21" s="3" t="str">
        <f aca="false">IF(L21&gt;=0.15,"Strong Improvement",IF(L21&gt;=0.05,"Moderate Improvement",IF(L21&gt;=-0.02,"Marginal/Flat","Regressed")))</f>
        <v>Strong Improvement</v>
      </c>
      <c r="AB21" s="3" t="str">
        <f aca="false">IF(X21&gt;=0.15,"Strong Improvement",IF(X21&gt;=0.05,"Moderate Improvement",IF(X21&gt;=-0.02,"Marginal/Flat","Regressed")))</f>
        <v>Strong Improvement</v>
      </c>
      <c r="AC21" s="3" t="str">
        <f aca="false">IF(Z21&lt;70,"Low N (&lt;70)","")</f>
        <v/>
      </c>
    </row>
    <row r="22" customFormat="false" ht="15" hidden="false" customHeight="true" outlineLevel="0" collapsed="false">
      <c r="A22" s="3" t="str">
        <f aca="false">Text2Image_Base!A22</f>
        <v>LAMP</v>
      </c>
      <c r="B22" s="6" t="n">
        <f aca="false">Text2Image_Base!G22</f>
        <v>0.115</v>
      </c>
      <c r="C22" s="6" t="n">
        <f aca="false">Text2Image_FT!G22</f>
        <v>0.103</v>
      </c>
      <c r="D22" s="6" t="n">
        <f aca="false">C22-B22</f>
        <v>-0.012</v>
      </c>
      <c r="E22" s="6" t="n">
        <f aca="false">IFERROR(D22/B22,"")</f>
        <v>-0.104347826086957</v>
      </c>
      <c r="F22" s="6" t="n">
        <f aca="false">Text2Image_Base!H22</f>
        <v>0.287</v>
      </c>
      <c r="G22" s="6" t="n">
        <f aca="false">Text2Image_FT!H22</f>
        <v>0.425</v>
      </c>
      <c r="H22" s="6" t="n">
        <f aca="false">G22-F22</f>
        <v>0.138</v>
      </c>
      <c r="I22" s="6" t="n">
        <f aca="false">IFERROR(H22/F22,"")</f>
        <v>0.480836236933798</v>
      </c>
      <c r="J22" s="6" t="n">
        <f aca="false">Text2Image_Base!I22</f>
        <v>0.483</v>
      </c>
      <c r="K22" s="6" t="n">
        <f aca="false">Text2Image_FT!I22</f>
        <v>0.552</v>
      </c>
      <c r="L22" s="6" t="n">
        <f aca="false">K22-J22</f>
        <v>0.0690000000000001</v>
      </c>
      <c r="M22" s="6" t="n">
        <f aca="false">IFERROR(L22/J22,"")</f>
        <v>0.142857142857143</v>
      </c>
      <c r="N22" s="7" t="n">
        <f aca="false">Image2Text_Base!G22</f>
        <v>0.092</v>
      </c>
      <c r="O22" s="7" t="n">
        <f aca="false">Image2Text_FT!G22</f>
        <v>0.138</v>
      </c>
      <c r="P22" s="7" t="n">
        <f aca="false">O22-N22</f>
        <v>0.046</v>
      </c>
      <c r="Q22" s="7" t="n">
        <f aca="false">IFERROR(P22/N22,"")</f>
        <v>0.5</v>
      </c>
      <c r="R22" s="7" t="n">
        <f aca="false">Image2Text_Base!H22</f>
        <v>0.299</v>
      </c>
      <c r="S22" s="7" t="n">
        <f aca="false">Image2Text_FT!H22</f>
        <v>0.517</v>
      </c>
      <c r="T22" s="7" t="n">
        <f aca="false">S22-R22</f>
        <v>0.218</v>
      </c>
      <c r="U22" s="7" t="n">
        <f aca="false">IFERROR(T22/R22,"")</f>
        <v>0.729096989966555</v>
      </c>
      <c r="V22" s="7" t="n">
        <f aca="false">Image2Text_Base!I22</f>
        <v>0.402</v>
      </c>
      <c r="W22" s="7" t="n">
        <f aca="false">Image2Text_FT!I22</f>
        <v>0.575</v>
      </c>
      <c r="X22" s="7" t="n">
        <f aca="false">W22-V22</f>
        <v>0.173</v>
      </c>
      <c r="Y22" s="7" t="n">
        <f aca="false">IFERROR(X22/V22,"")</f>
        <v>0.430348258706468</v>
      </c>
      <c r="Z22" s="3" t="n">
        <f aca="false">Text2Image_Base!F22</f>
        <v>87</v>
      </c>
      <c r="AA22" s="3" t="str">
        <f aca="false">IF(L22&gt;=0.15,"Strong Improvement",IF(L22&gt;=0.05,"Moderate Improvement",IF(L22&gt;=-0.02,"Marginal/Flat","Regressed")))</f>
        <v>Moderate Improvement</v>
      </c>
      <c r="AB22" s="3" t="str">
        <f aca="false">IF(X22&gt;=0.15,"Strong Improvement",IF(X22&gt;=0.05,"Moderate Improvement",IF(X22&gt;=-0.02,"Marginal/Flat","Regressed")))</f>
        <v>Strong Improvement</v>
      </c>
      <c r="AC22" s="3" t="str">
        <f aca="false">IF(Z22&lt;70,"Low N (&lt;70)","")</f>
        <v/>
      </c>
    </row>
    <row r="23" customFormat="false" ht="15" hidden="false" customHeight="true" outlineLevel="0" collapsed="false">
      <c r="A23" s="3" t="str">
        <f aca="false">Text2Image_Base!A23</f>
        <v>LIGHT_FIXTURE</v>
      </c>
      <c r="B23" s="6" t="n">
        <f aca="false">Text2Image_Base!G23</f>
        <v>0.101</v>
      </c>
      <c r="C23" s="6" t="n">
        <f aca="false">Text2Image_FT!G23</f>
        <v>0.18</v>
      </c>
      <c r="D23" s="6" t="n">
        <f aca="false">C23-B23</f>
        <v>0.079</v>
      </c>
      <c r="E23" s="6" t="n">
        <f aca="false">IFERROR(D23/B23,"")</f>
        <v>0.782178217821782</v>
      </c>
      <c r="F23" s="6" t="n">
        <f aca="false">Text2Image_Base!H23</f>
        <v>0.258</v>
      </c>
      <c r="G23" s="6" t="n">
        <f aca="false">Text2Image_FT!H23</f>
        <v>0.303</v>
      </c>
      <c r="H23" s="6" t="n">
        <f aca="false">G23-F23</f>
        <v>0.045</v>
      </c>
      <c r="I23" s="6" t="n">
        <f aca="false">IFERROR(H23/F23,"")</f>
        <v>0.174418604651163</v>
      </c>
      <c r="J23" s="6" t="n">
        <f aca="false">Text2Image_Base!I23</f>
        <v>0.348</v>
      </c>
      <c r="K23" s="6" t="n">
        <f aca="false">Text2Image_FT!I23</f>
        <v>0.483</v>
      </c>
      <c r="L23" s="6" t="n">
        <f aca="false">K23-J23</f>
        <v>0.135</v>
      </c>
      <c r="M23" s="6" t="n">
        <f aca="false">IFERROR(L23/J23,"")</f>
        <v>0.387931034482759</v>
      </c>
      <c r="N23" s="7" t="n">
        <f aca="false">Image2Text_Base!G23</f>
        <v>0.079</v>
      </c>
      <c r="O23" s="7" t="n">
        <f aca="false">Image2Text_FT!G23</f>
        <v>0.112</v>
      </c>
      <c r="P23" s="7" t="n">
        <f aca="false">O23-N23</f>
        <v>0.033</v>
      </c>
      <c r="Q23" s="7" t="n">
        <f aca="false">IFERROR(P23/N23,"")</f>
        <v>0.417721518987342</v>
      </c>
      <c r="R23" s="7" t="n">
        <f aca="false">Image2Text_Base!H23</f>
        <v>0.191</v>
      </c>
      <c r="S23" s="7" t="n">
        <f aca="false">Image2Text_FT!H23</f>
        <v>0.315</v>
      </c>
      <c r="T23" s="7" t="n">
        <f aca="false">S23-R23</f>
        <v>0.124</v>
      </c>
      <c r="U23" s="7" t="n">
        <f aca="false">IFERROR(T23/R23,"")</f>
        <v>0.649214659685864</v>
      </c>
      <c r="V23" s="7" t="n">
        <f aca="false">Image2Text_Base!I23</f>
        <v>0.258</v>
      </c>
      <c r="W23" s="7" t="n">
        <f aca="false">Image2Text_FT!I23</f>
        <v>0.382</v>
      </c>
      <c r="X23" s="7" t="n">
        <f aca="false">W23-V23</f>
        <v>0.124</v>
      </c>
      <c r="Y23" s="7" t="n">
        <f aca="false">IFERROR(X23/V23,"")</f>
        <v>0.48062015503876</v>
      </c>
      <c r="Z23" s="3" t="n">
        <f aca="false">Text2Image_Base!F23</f>
        <v>89</v>
      </c>
      <c r="AA23" s="3" t="str">
        <f aca="false">IF(L23&gt;=0.15,"Strong Improvement",IF(L23&gt;=0.05,"Moderate Improvement",IF(L23&gt;=-0.02,"Marginal/Flat","Regressed")))</f>
        <v>Moderate Improvement</v>
      </c>
      <c r="AB23" s="3" t="str">
        <f aca="false">IF(X23&gt;=0.15,"Strong Improvement",IF(X23&gt;=0.05,"Moderate Improvement",IF(X23&gt;=-0.02,"Marginal/Flat","Regressed")))</f>
        <v>Moderate Improvement</v>
      </c>
      <c r="AC23" s="3" t="str">
        <f aca="false">IF(Z23&lt;70,"Low N (&lt;70)","")</f>
        <v/>
      </c>
    </row>
    <row r="24" customFormat="false" ht="15" hidden="false" customHeight="true" outlineLevel="0" collapsed="false">
      <c r="A24" s="3" t="str">
        <f aca="false">Text2Image_Base!A24</f>
        <v>PET_SUPPLIES</v>
      </c>
      <c r="B24" s="6" t="n">
        <f aca="false">Text2Image_Base!G24</f>
        <v>0.075</v>
      </c>
      <c r="C24" s="6" t="n">
        <f aca="false">Text2Image_FT!G24</f>
        <v>0.15</v>
      </c>
      <c r="D24" s="6" t="n">
        <f aca="false">C24-B24</f>
        <v>0.075</v>
      </c>
      <c r="E24" s="6" t="n">
        <f aca="false">IFERROR(D24/B24,"")</f>
        <v>1</v>
      </c>
      <c r="F24" s="6" t="n">
        <f aca="false">Text2Image_Base!H24</f>
        <v>0.275</v>
      </c>
      <c r="G24" s="6" t="n">
        <f aca="false">Text2Image_FT!H24</f>
        <v>0.362</v>
      </c>
      <c r="H24" s="6" t="n">
        <f aca="false">G24-F24</f>
        <v>0.087</v>
      </c>
      <c r="I24" s="6" t="n">
        <f aca="false">IFERROR(H24/F24,"")</f>
        <v>0.316363636363636</v>
      </c>
      <c r="J24" s="6" t="n">
        <f aca="false">Text2Image_Base!I24</f>
        <v>0.425</v>
      </c>
      <c r="K24" s="6" t="n">
        <f aca="false">Text2Image_FT!I24</f>
        <v>0.487</v>
      </c>
      <c r="L24" s="6" t="n">
        <f aca="false">K24-J24</f>
        <v>0.062</v>
      </c>
      <c r="M24" s="6" t="n">
        <f aca="false">IFERROR(L24/J24,"")</f>
        <v>0.145882352941176</v>
      </c>
      <c r="N24" s="7" t="n">
        <f aca="false">Image2Text_Base!G24</f>
        <v>0.075</v>
      </c>
      <c r="O24" s="7" t="n">
        <f aca="false">Image2Text_FT!G24</f>
        <v>0.1</v>
      </c>
      <c r="P24" s="7" t="n">
        <f aca="false">O24-N24</f>
        <v>0.025</v>
      </c>
      <c r="Q24" s="7" t="n">
        <f aca="false">IFERROR(P24/N24,"")</f>
        <v>0.333333333333334</v>
      </c>
      <c r="R24" s="7" t="n">
        <f aca="false">Image2Text_Base!H24</f>
        <v>0.263</v>
      </c>
      <c r="S24" s="7" t="n">
        <f aca="false">Image2Text_FT!H24</f>
        <v>0.338</v>
      </c>
      <c r="T24" s="7" t="n">
        <f aca="false">S24-R24</f>
        <v>0.075</v>
      </c>
      <c r="U24" s="7" t="n">
        <f aca="false">IFERROR(T24/R24,"")</f>
        <v>0.285171102661597</v>
      </c>
      <c r="V24" s="7" t="n">
        <f aca="false">Image2Text_Base!I24</f>
        <v>0.338</v>
      </c>
      <c r="W24" s="7" t="n">
        <f aca="false">Image2Text_FT!I24</f>
        <v>0.487</v>
      </c>
      <c r="X24" s="7" t="n">
        <f aca="false">W24-V24</f>
        <v>0.149</v>
      </c>
      <c r="Y24" s="7" t="n">
        <f aca="false">IFERROR(X24/V24,"")</f>
        <v>0.440828402366864</v>
      </c>
      <c r="Z24" s="3" t="n">
        <f aca="false">Text2Image_Base!F24</f>
        <v>80</v>
      </c>
      <c r="AA24" s="3" t="str">
        <f aca="false">IF(L24&gt;=0.15,"Strong Improvement",IF(L24&gt;=0.05,"Moderate Improvement",IF(L24&gt;=-0.02,"Marginal/Flat","Regressed")))</f>
        <v>Moderate Improvement</v>
      </c>
      <c r="AB24" s="3" t="str">
        <f aca="false">IF(X24&gt;=0.15,"Strong Improvement",IF(X24&gt;=0.05,"Moderate Improvement",IF(X24&gt;=-0.02,"Marginal/Flat","Regressed")))</f>
        <v>Moderate Improvement</v>
      </c>
      <c r="AC24" s="3" t="str">
        <f aca="false">IF(Z24&lt;70,"Low N (&lt;70)","")</f>
        <v/>
      </c>
    </row>
    <row r="25" customFormat="false" ht="15" hidden="false" customHeight="true" outlineLevel="0" collapsed="false">
      <c r="A25" s="3" t="str">
        <f aca="false">Text2Image_Base!A25</f>
        <v>HANDBAG</v>
      </c>
      <c r="B25" s="6" t="n">
        <f aca="false">Text2Image_Base!G25</f>
        <v>0.075</v>
      </c>
      <c r="C25" s="6" t="n">
        <f aca="false">Text2Image_FT!G25</f>
        <v>0.164</v>
      </c>
      <c r="D25" s="6" t="n">
        <f aca="false">C25-B25</f>
        <v>0.089</v>
      </c>
      <c r="E25" s="6" t="n">
        <f aca="false">IFERROR(D25/B25,"")</f>
        <v>1.18666666666667</v>
      </c>
      <c r="F25" s="6" t="n">
        <f aca="false">Text2Image_Base!H25</f>
        <v>0.246</v>
      </c>
      <c r="G25" s="6" t="n">
        <f aca="false">Text2Image_FT!H25</f>
        <v>0.343</v>
      </c>
      <c r="H25" s="6" t="n">
        <f aca="false">G25-F25</f>
        <v>0.097</v>
      </c>
      <c r="I25" s="6" t="n">
        <f aca="false">IFERROR(H25/F25,"")</f>
        <v>0.394308943089431</v>
      </c>
      <c r="J25" s="6" t="n">
        <f aca="false">Text2Image_Base!I25</f>
        <v>0.373</v>
      </c>
      <c r="K25" s="6" t="n">
        <f aca="false">Text2Image_FT!I25</f>
        <v>0.47</v>
      </c>
      <c r="L25" s="6" t="n">
        <f aca="false">K25-J25</f>
        <v>0.097</v>
      </c>
      <c r="M25" s="6" t="n">
        <f aca="false">IFERROR(L25/J25,"")</f>
        <v>0.260053619302949</v>
      </c>
      <c r="N25" s="7" t="n">
        <f aca="false">Image2Text_Base!G25</f>
        <v>0.097</v>
      </c>
      <c r="O25" s="7" t="n">
        <f aca="false">Image2Text_FT!G25</f>
        <v>0.112</v>
      </c>
      <c r="P25" s="7" t="n">
        <f aca="false">O25-N25</f>
        <v>0.015</v>
      </c>
      <c r="Q25" s="7" t="n">
        <f aca="false">IFERROR(P25/N25,"")</f>
        <v>0.154639175257732</v>
      </c>
      <c r="R25" s="7" t="n">
        <f aca="false">Image2Text_Base!H25</f>
        <v>0.254</v>
      </c>
      <c r="S25" s="7" t="n">
        <f aca="false">Image2Text_FT!H25</f>
        <v>0.276</v>
      </c>
      <c r="T25" s="7" t="n">
        <f aca="false">S25-R25</f>
        <v>0.022</v>
      </c>
      <c r="U25" s="7" t="n">
        <f aca="false">IFERROR(T25/R25,"")</f>
        <v>0.0866141732283465</v>
      </c>
      <c r="V25" s="7" t="n">
        <f aca="false">Image2Text_Base!I25</f>
        <v>0.343</v>
      </c>
      <c r="W25" s="7" t="n">
        <f aca="false">Image2Text_FT!I25</f>
        <v>0.448</v>
      </c>
      <c r="X25" s="7" t="n">
        <f aca="false">W25-V25</f>
        <v>0.105</v>
      </c>
      <c r="Y25" s="7" t="n">
        <f aca="false">IFERROR(X25/V25,"")</f>
        <v>0.306122448979592</v>
      </c>
      <c r="Z25" s="3" t="n">
        <f aca="false">Text2Image_Base!F25</f>
        <v>134</v>
      </c>
      <c r="AA25" s="3" t="str">
        <f aca="false">IF(L25&gt;=0.15,"Strong Improvement",IF(L25&gt;=0.05,"Moderate Improvement",IF(L25&gt;=-0.02,"Marginal/Flat","Regressed")))</f>
        <v>Moderate Improvement</v>
      </c>
      <c r="AB25" s="3" t="str">
        <f aca="false">IF(X25&gt;=0.15,"Strong Improvement",IF(X25&gt;=0.05,"Moderate Improvement",IF(X25&gt;=-0.02,"Marginal/Flat","Regressed")))</f>
        <v>Moderate Improvement</v>
      </c>
      <c r="AC25" s="3" t="str">
        <f aca="false">IF(Z25&lt;70,"Low N (&lt;70)","")</f>
        <v/>
      </c>
    </row>
    <row r="26" customFormat="false" ht="15" hidden="false" customHeight="true" outlineLevel="0" collapsed="false">
      <c r="A26" s="3" t="str">
        <f aca="false">Text2Image_Base!A26</f>
        <v>FINERING</v>
      </c>
      <c r="B26" s="6" t="n">
        <f aca="false">Text2Image_Base!G26</f>
        <v>0.071</v>
      </c>
      <c r="C26" s="6" t="n">
        <f aca="false">Text2Image_FT!G26</f>
        <v>0.112</v>
      </c>
      <c r="D26" s="6" t="n">
        <f aca="false">C26-B26</f>
        <v>0.041</v>
      </c>
      <c r="E26" s="6" t="n">
        <f aca="false">IFERROR(D26/B26,"")</f>
        <v>0.577464788732395</v>
      </c>
      <c r="F26" s="6" t="n">
        <f aca="false">Text2Image_Base!H26</f>
        <v>0.276</v>
      </c>
      <c r="G26" s="6" t="n">
        <f aca="false">Text2Image_FT!H26</f>
        <v>0.429</v>
      </c>
      <c r="H26" s="6" t="n">
        <f aca="false">G26-F26</f>
        <v>0.153</v>
      </c>
      <c r="I26" s="6" t="n">
        <f aca="false">IFERROR(H26/F26,"")</f>
        <v>0.554347826086956</v>
      </c>
      <c r="J26" s="6" t="n">
        <f aca="false">Text2Image_Base!I26</f>
        <v>0.306</v>
      </c>
      <c r="K26" s="6" t="n">
        <f aca="false">Text2Image_FT!I26</f>
        <v>0.51</v>
      </c>
      <c r="L26" s="6" t="n">
        <f aca="false">K26-J26</f>
        <v>0.204</v>
      </c>
      <c r="M26" s="6" t="n">
        <f aca="false">IFERROR(L26/J26,"")</f>
        <v>0.666666666666667</v>
      </c>
      <c r="N26" s="7" t="n">
        <f aca="false">Image2Text_Base!G26</f>
        <v>0.082</v>
      </c>
      <c r="O26" s="7" t="n">
        <f aca="false">Image2Text_FT!G26</f>
        <v>0.092</v>
      </c>
      <c r="P26" s="7" t="n">
        <f aca="false">O26-N26</f>
        <v>0.01</v>
      </c>
      <c r="Q26" s="7" t="n">
        <f aca="false">IFERROR(P26/N26,"")</f>
        <v>0.121951219512195</v>
      </c>
      <c r="R26" s="7" t="n">
        <f aca="false">Image2Text_Base!H26</f>
        <v>0.245</v>
      </c>
      <c r="S26" s="7" t="n">
        <f aca="false">Image2Text_FT!H26</f>
        <v>0.347</v>
      </c>
      <c r="T26" s="7" t="n">
        <f aca="false">S26-R26</f>
        <v>0.102</v>
      </c>
      <c r="U26" s="7" t="n">
        <f aca="false">IFERROR(T26/R26,"")</f>
        <v>0.416326530612245</v>
      </c>
      <c r="V26" s="7" t="n">
        <f aca="false">Image2Text_Base!I26</f>
        <v>0.367</v>
      </c>
      <c r="W26" s="7" t="n">
        <f aca="false">Image2Text_FT!I26</f>
        <v>0.398</v>
      </c>
      <c r="X26" s="7" t="n">
        <f aca="false">W26-V26</f>
        <v>0.031</v>
      </c>
      <c r="Y26" s="7" t="n">
        <f aca="false">IFERROR(X26/V26,"")</f>
        <v>0.0844686648501363</v>
      </c>
      <c r="Z26" s="3" t="n">
        <f aca="false">Text2Image_Base!F26</f>
        <v>98</v>
      </c>
      <c r="AA26" s="3" t="str">
        <f aca="false">IF(L26&gt;=0.15,"Strong Improvement",IF(L26&gt;=0.05,"Moderate Improvement",IF(L26&gt;=-0.02,"Marginal/Flat","Regressed")))</f>
        <v>Strong Improvement</v>
      </c>
      <c r="AB26" s="3" t="str">
        <f aca="false">IF(X26&gt;=0.15,"Strong Improvement",IF(X26&gt;=0.05,"Moderate Improvement",IF(X26&gt;=-0.02,"Marginal/Flat","Regressed")))</f>
        <v>Marginal/Flat</v>
      </c>
      <c r="AC26" s="3" t="str">
        <f aca="false">IF(Z26&lt;70,"Low N (&lt;70)","")</f>
        <v/>
      </c>
    </row>
    <row r="27" customFormat="false" ht="15" hidden="false" customHeight="true" outlineLevel="0" collapsed="false">
      <c r="A27" s="3" t="str">
        <f aca="false">Text2Image_Base!A27</f>
        <v>FINEEARRING</v>
      </c>
      <c r="B27" s="6" t="n">
        <f aca="false">Text2Image_Base!G27</f>
        <v>0.111</v>
      </c>
      <c r="C27" s="6" t="n">
        <f aca="false">Text2Image_FT!G27</f>
        <v>0.143</v>
      </c>
      <c r="D27" s="6" t="n">
        <f aca="false">C27-B27</f>
        <v>0.032</v>
      </c>
      <c r="E27" s="6" t="n">
        <f aca="false">IFERROR(D27/B27,"")</f>
        <v>0.288288288288288</v>
      </c>
      <c r="F27" s="6" t="n">
        <f aca="false">Text2Image_Base!H27</f>
        <v>0.317</v>
      </c>
      <c r="G27" s="6" t="n">
        <f aca="false">Text2Image_FT!H27</f>
        <v>0.405</v>
      </c>
      <c r="H27" s="6" t="n">
        <f aca="false">G27-F27</f>
        <v>0.088</v>
      </c>
      <c r="I27" s="6" t="n">
        <f aca="false">IFERROR(H27/F27,"")</f>
        <v>0.277602523659306</v>
      </c>
      <c r="J27" s="6" t="n">
        <f aca="false">Text2Image_Base!I27</f>
        <v>0.421</v>
      </c>
      <c r="K27" s="6" t="n">
        <f aca="false">Text2Image_FT!I27</f>
        <v>0.603</v>
      </c>
      <c r="L27" s="6" t="n">
        <f aca="false">K27-J27</f>
        <v>0.182</v>
      </c>
      <c r="M27" s="6" t="n">
        <f aca="false">IFERROR(L27/J27,"")</f>
        <v>0.432304038004751</v>
      </c>
      <c r="N27" s="7" t="n">
        <f aca="false">Image2Text_Base!G27</f>
        <v>0.103</v>
      </c>
      <c r="O27" s="7" t="n">
        <f aca="false">Image2Text_FT!G27</f>
        <v>0.143</v>
      </c>
      <c r="P27" s="7" t="n">
        <f aca="false">O27-N27</f>
        <v>0.04</v>
      </c>
      <c r="Q27" s="7" t="n">
        <f aca="false">IFERROR(P27/N27,"")</f>
        <v>0.388349514563107</v>
      </c>
      <c r="R27" s="7" t="n">
        <f aca="false">Image2Text_Base!H27</f>
        <v>0.397</v>
      </c>
      <c r="S27" s="7" t="n">
        <f aca="false">Image2Text_FT!H27</f>
        <v>0.373</v>
      </c>
      <c r="T27" s="7" t="n">
        <f aca="false">S27-R27</f>
        <v>-0.024</v>
      </c>
      <c r="U27" s="7" t="n">
        <f aca="false">IFERROR(T27/R27,"")</f>
        <v>-0.0604534005037784</v>
      </c>
      <c r="V27" s="7" t="n">
        <f aca="false">Image2Text_Base!I27</f>
        <v>0.492</v>
      </c>
      <c r="W27" s="7" t="n">
        <f aca="false">Image2Text_FT!I27</f>
        <v>0.524</v>
      </c>
      <c r="X27" s="7" t="n">
        <f aca="false">W27-V27</f>
        <v>0.032</v>
      </c>
      <c r="Y27" s="7" t="n">
        <f aca="false">IFERROR(X27/V27,"")</f>
        <v>0.0650406504065041</v>
      </c>
      <c r="Z27" s="3" t="n">
        <f aca="false">Text2Image_Base!F27</f>
        <v>126</v>
      </c>
      <c r="AA27" s="3" t="str">
        <f aca="false">IF(L27&gt;=0.15,"Strong Improvement",IF(L27&gt;=0.05,"Moderate Improvement",IF(L27&gt;=-0.02,"Marginal/Flat","Regressed")))</f>
        <v>Strong Improvement</v>
      </c>
      <c r="AB27" s="3" t="str">
        <f aca="false">IF(X27&gt;=0.15,"Strong Improvement",IF(X27&gt;=0.05,"Moderate Improvement",IF(X27&gt;=-0.02,"Marginal/Flat","Regressed")))</f>
        <v>Marginal/Flat</v>
      </c>
      <c r="AC27" s="3" t="str">
        <f aca="false">IF(Z27&lt;70,"Low N (&lt;70)","")</f>
        <v/>
      </c>
    </row>
    <row r="28" customFormat="false" ht="15" hidden="false" customHeight="true" outlineLevel="0" collapsed="false">
      <c r="A28" s="3" t="str">
        <f aca="false">Text2Image_Base!A28</f>
        <v>OUTDOOR_LIVING</v>
      </c>
      <c r="B28" s="6" t="n">
        <f aca="false">Text2Image_Base!G28</f>
        <v>0.225</v>
      </c>
      <c r="C28" s="6" t="n">
        <f aca="false">Text2Image_FT!G28</f>
        <v>0.197</v>
      </c>
      <c r="D28" s="6" t="n">
        <f aca="false">C28-B28</f>
        <v>-0.028</v>
      </c>
      <c r="E28" s="6" t="n">
        <f aca="false">IFERROR(D28/B28,"")</f>
        <v>-0.124444444444444</v>
      </c>
      <c r="F28" s="6" t="n">
        <f aca="false">Text2Image_Base!H28</f>
        <v>0.465</v>
      </c>
      <c r="G28" s="6" t="n">
        <f aca="false">Text2Image_FT!H28</f>
        <v>0.507</v>
      </c>
      <c r="H28" s="6" t="n">
        <f aca="false">G28-F28</f>
        <v>0.042</v>
      </c>
      <c r="I28" s="6" t="n">
        <f aca="false">IFERROR(H28/F28,"")</f>
        <v>0.0903225806451612</v>
      </c>
      <c r="J28" s="6" t="n">
        <f aca="false">Text2Image_Base!I28</f>
        <v>0.577</v>
      </c>
      <c r="K28" s="6" t="n">
        <f aca="false">Text2Image_FT!I28</f>
        <v>0.662</v>
      </c>
      <c r="L28" s="6" t="n">
        <f aca="false">K28-J28</f>
        <v>0.0850000000000001</v>
      </c>
      <c r="M28" s="6" t="n">
        <f aca="false">IFERROR(L28/J28,"")</f>
        <v>0.147313691507799</v>
      </c>
      <c r="N28" s="7" t="n">
        <f aca="false">Image2Text_Base!G28</f>
        <v>0.127</v>
      </c>
      <c r="O28" s="7" t="n">
        <f aca="false">Image2Text_FT!G28</f>
        <v>0.197</v>
      </c>
      <c r="P28" s="7" t="n">
        <f aca="false">O28-N28</f>
        <v>0.07</v>
      </c>
      <c r="Q28" s="7" t="n">
        <f aca="false">IFERROR(P28/N28,"")</f>
        <v>0.551181102362205</v>
      </c>
      <c r="R28" s="7" t="n">
        <f aca="false">Image2Text_Base!H28</f>
        <v>0.394</v>
      </c>
      <c r="S28" s="7" t="n">
        <f aca="false">Image2Text_FT!H28</f>
        <v>0.423</v>
      </c>
      <c r="T28" s="7" t="n">
        <f aca="false">S28-R28</f>
        <v>0.029</v>
      </c>
      <c r="U28" s="7" t="n">
        <f aca="false">IFERROR(T28/R28,"")</f>
        <v>0.0736040609137055</v>
      </c>
      <c r="V28" s="7" t="n">
        <f aca="false">Image2Text_Base!I28</f>
        <v>0.465</v>
      </c>
      <c r="W28" s="7" t="n">
        <f aca="false">Image2Text_FT!I28</f>
        <v>0.592</v>
      </c>
      <c r="X28" s="7" t="n">
        <f aca="false">W28-V28</f>
        <v>0.127</v>
      </c>
      <c r="Y28" s="7" t="n">
        <f aca="false">IFERROR(X28/V28,"")</f>
        <v>0.273118279569892</v>
      </c>
      <c r="Z28" s="3" t="n">
        <f aca="false">Text2Image_Base!F28</f>
        <v>71</v>
      </c>
      <c r="AA28" s="3" t="str">
        <f aca="false">IF(L28&gt;=0.15,"Strong Improvement",IF(L28&gt;=0.05,"Moderate Improvement",IF(L28&gt;=-0.02,"Marginal/Flat","Regressed")))</f>
        <v>Moderate Improvement</v>
      </c>
      <c r="AB28" s="3" t="str">
        <f aca="false">IF(X28&gt;=0.15,"Strong Improvement",IF(X28&gt;=0.05,"Moderate Improvement",IF(X28&gt;=-0.02,"Marginal/Flat","Regressed")))</f>
        <v>Moderate Improvement</v>
      </c>
      <c r="AC28" s="3" t="str">
        <f aca="false">IF(Z28&lt;70,"Low N (&lt;70)","")</f>
        <v/>
      </c>
    </row>
    <row r="29" customFormat="false" ht="15" hidden="false" customHeight="true" outlineLevel="0" collapsed="false">
      <c r="A29" s="3" t="str">
        <f aca="false">Text2Image_Base!A29</f>
        <v>OTTOMAN</v>
      </c>
      <c r="B29" s="6" t="n">
        <f aca="false">Text2Image_Base!G29</f>
        <v>0.078</v>
      </c>
      <c r="C29" s="6" t="n">
        <f aca="false">Text2Image_FT!G29</f>
        <v>0.062</v>
      </c>
      <c r="D29" s="6" t="n">
        <f aca="false">C29-B29</f>
        <v>-0.016</v>
      </c>
      <c r="E29" s="6" t="n">
        <f aca="false">IFERROR(D29/B29,"")</f>
        <v>-0.205128205128205</v>
      </c>
      <c r="F29" s="6" t="n">
        <f aca="false">Text2Image_Base!H29</f>
        <v>0.172</v>
      </c>
      <c r="G29" s="6" t="n">
        <f aca="false">Text2Image_FT!H29</f>
        <v>0.297</v>
      </c>
      <c r="H29" s="6" t="n">
        <f aca="false">G29-F29</f>
        <v>0.125</v>
      </c>
      <c r="I29" s="6" t="n">
        <f aca="false">IFERROR(H29/F29,"")</f>
        <v>0.726744186046512</v>
      </c>
      <c r="J29" s="6" t="n">
        <f aca="false">Text2Image_Base!I29</f>
        <v>0.219</v>
      </c>
      <c r="K29" s="6" t="n">
        <f aca="false">Text2Image_FT!I29</f>
        <v>0.422</v>
      </c>
      <c r="L29" s="6" t="n">
        <f aca="false">K29-J29</f>
        <v>0.203</v>
      </c>
      <c r="M29" s="6" t="n">
        <f aca="false">IFERROR(L29/J29,"")</f>
        <v>0.926940639269406</v>
      </c>
      <c r="N29" s="7" t="n">
        <f aca="false">Image2Text_Base!G29</f>
        <v>0.047</v>
      </c>
      <c r="O29" s="7" t="n">
        <f aca="false">Image2Text_FT!G29</f>
        <v>0.094</v>
      </c>
      <c r="P29" s="7" t="n">
        <f aca="false">O29-N29</f>
        <v>0.047</v>
      </c>
      <c r="Q29" s="7" t="n">
        <f aca="false">IFERROR(P29/N29,"")</f>
        <v>1</v>
      </c>
      <c r="R29" s="7" t="n">
        <f aca="false">Image2Text_Base!H29</f>
        <v>0.125</v>
      </c>
      <c r="S29" s="7" t="n">
        <f aca="false">Image2Text_FT!H29</f>
        <v>0.266</v>
      </c>
      <c r="T29" s="7" t="n">
        <f aca="false">S29-R29</f>
        <v>0.141</v>
      </c>
      <c r="U29" s="7" t="n">
        <f aca="false">IFERROR(T29/R29,"")</f>
        <v>1.128</v>
      </c>
      <c r="V29" s="7" t="n">
        <f aca="false">Image2Text_Base!I29</f>
        <v>0.172</v>
      </c>
      <c r="W29" s="7" t="n">
        <f aca="false">Image2Text_FT!I29</f>
        <v>0.297</v>
      </c>
      <c r="X29" s="7" t="n">
        <f aca="false">W29-V29</f>
        <v>0.125</v>
      </c>
      <c r="Y29" s="7" t="n">
        <f aca="false">IFERROR(X29/V29,"")</f>
        <v>0.726744186046512</v>
      </c>
      <c r="Z29" s="3" t="n">
        <f aca="false">Text2Image_Base!F29</f>
        <v>64</v>
      </c>
      <c r="AA29" s="3" t="str">
        <f aca="false">IF(L29&gt;=0.15,"Strong Improvement",IF(L29&gt;=0.05,"Moderate Improvement",IF(L29&gt;=-0.02,"Marginal/Flat","Regressed")))</f>
        <v>Strong Improvement</v>
      </c>
      <c r="AB29" s="3" t="str">
        <f aca="false">IF(X29&gt;=0.15,"Strong Improvement",IF(X29&gt;=0.05,"Moderate Improvement",IF(X29&gt;=-0.02,"Marginal/Flat","Regressed")))</f>
        <v>Moderate Improvement</v>
      </c>
      <c r="AC29" s="3" t="str">
        <f aca="false">IF(Z29&lt;70,"Low N (&lt;70)","")</f>
        <v>Low N (&lt;70)</v>
      </c>
    </row>
    <row r="30" customFormat="false" ht="15" hidden="false" customHeight="true" outlineLevel="0" collapsed="false">
      <c r="A30" s="3" t="str">
        <f aca="false">Text2Image_Base!A30</f>
        <v>HARDWARE_HANDLE</v>
      </c>
      <c r="B30" s="6" t="n">
        <f aca="false">Text2Image_Base!G30</f>
        <v>0.056</v>
      </c>
      <c r="C30" s="6" t="n">
        <f aca="false">Text2Image_FT!G30</f>
        <v>0.042</v>
      </c>
      <c r="D30" s="6" t="n">
        <f aca="false">C30-B30</f>
        <v>-0.014</v>
      </c>
      <c r="E30" s="6" t="n">
        <f aca="false">IFERROR(D30/B30,"")</f>
        <v>-0.25</v>
      </c>
      <c r="F30" s="6" t="n">
        <f aca="false">Text2Image_Base!H30</f>
        <v>0.153</v>
      </c>
      <c r="G30" s="6" t="n">
        <f aca="false">Text2Image_FT!H30</f>
        <v>0.208</v>
      </c>
      <c r="H30" s="6" t="n">
        <f aca="false">G30-F30</f>
        <v>0.055</v>
      </c>
      <c r="I30" s="6" t="n">
        <f aca="false">IFERROR(H30/F30,"")</f>
        <v>0.359477124183007</v>
      </c>
      <c r="J30" s="6" t="n">
        <f aca="false">Text2Image_Base!I30</f>
        <v>0.236</v>
      </c>
      <c r="K30" s="6" t="n">
        <f aca="false">Text2Image_FT!I30</f>
        <v>0.375</v>
      </c>
      <c r="L30" s="6" t="n">
        <f aca="false">K30-J30</f>
        <v>0.139</v>
      </c>
      <c r="M30" s="6" t="n">
        <f aca="false">IFERROR(L30/J30,"")</f>
        <v>0.588983050847458</v>
      </c>
      <c r="N30" s="7" t="n">
        <f aca="false">Image2Text_Base!G30</f>
        <v>0.028</v>
      </c>
      <c r="O30" s="7" t="n">
        <f aca="false">Image2Text_FT!G30</f>
        <v>0.069</v>
      </c>
      <c r="P30" s="7" t="n">
        <f aca="false">O30-N30</f>
        <v>0.041</v>
      </c>
      <c r="Q30" s="7" t="n">
        <f aca="false">IFERROR(P30/N30,"")</f>
        <v>1.46428571428571</v>
      </c>
      <c r="R30" s="7" t="n">
        <f aca="false">Image2Text_Base!H30</f>
        <v>0.056</v>
      </c>
      <c r="S30" s="7" t="n">
        <f aca="false">Image2Text_FT!H30</f>
        <v>0.264</v>
      </c>
      <c r="T30" s="7" t="n">
        <f aca="false">S30-R30</f>
        <v>0.208</v>
      </c>
      <c r="U30" s="7" t="n">
        <f aca="false">IFERROR(T30/R30,"")</f>
        <v>3.71428571428571</v>
      </c>
      <c r="V30" s="7" t="n">
        <f aca="false">Image2Text_Base!I30</f>
        <v>0.083</v>
      </c>
      <c r="W30" s="7" t="n">
        <f aca="false">Image2Text_FT!I30</f>
        <v>0.403</v>
      </c>
      <c r="X30" s="7" t="n">
        <f aca="false">W30-V30</f>
        <v>0.32</v>
      </c>
      <c r="Y30" s="7" t="n">
        <f aca="false">IFERROR(X30/V30,"")</f>
        <v>3.85542168674699</v>
      </c>
      <c r="Z30" s="3" t="n">
        <f aca="false">Text2Image_Base!F30</f>
        <v>72</v>
      </c>
      <c r="AA30" s="3" t="str">
        <f aca="false">IF(L30&gt;=0.15,"Strong Improvement",IF(L30&gt;=0.05,"Moderate Improvement",IF(L30&gt;=-0.02,"Marginal/Flat","Regressed")))</f>
        <v>Moderate Improvement</v>
      </c>
      <c r="AB30" s="3" t="str">
        <f aca="false">IF(X30&gt;=0.15,"Strong Improvement",IF(X30&gt;=0.05,"Moderate Improvement",IF(X30&gt;=-0.02,"Marginal/Flat","Regressed")))</f>
        <v>Strong Improvement</v>
      </c>
      <c r="AC30" s="3" t="str">
        <f aca="false">IF(Z30&lt;70,"Low N (&lt;70)","")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2"/>
    <col collapsed="false" customWidth="true" hidden="false" outlineLevel="0" max="3" min="3" style="1" width="55"/>
  </cols>
  <sheetData>
    <row r="1" customFormat="false" ht="15" hidden="false" customHeight="true" outlineLevel="0" collapsed="false">
      <c r="A1" s="2" t="s">
        <v>183</v>
      </c>
      <c r="B1" s="2" t="s">
        <v>184</v>
      </c>
      <c r="C1" s="2" t="s">
        <v>185</v>
      </c>
    </row>
    <row r="2" customFormat="false" ht="15" hidden="false" customHeight="true" outlineLevel="0" collapsed="false">
      <c r="A2" s="3" t="s">
        <v>186</v>
      </c>
      <c r="B2" s="8" t="n">
        <f aca="false">CORREL(Delta_Analysis!J2:J30,Delta_Analysis!L2:L30)</f>
        <v>-0.459830827596606</v>
      </c>
      <c r="C2" s="9" t="s">
        <v>187</v>
      </c>
    </row>
    <row r="3" customFormat="false" ht="15" hidden="false" customHeight="true" outlineLevel="0" collapsed="false">
      <c r="A3" s="3" t="s">
        <v>188</v>
      </c>
      <c r="B3" s="8" t="n">
        <f aca="false">CORREL(Delta_Analysis!V2:V30,Delta_Analysis!X2:X30)</f>
        <v>-0.446258591773762</v>
      </c>
      <c r="C3" s="9" t="s">
        <v>187</v>
      </c>
    </row>
    <row r="4" customFormat="false" ht="15" hidden="false" customHeight="true" outlineLevel="0" collapsed="false">
      <c r="A4" s="3" t="s">
        <v>189</v>
      </c>
      <c r="B4" s="8" t="n">
        <f aca="false">CORREL(Delta_Analysis!J2:J30,Delta_Analysis!V2:V30)</f>
        <v>0.916430856875643</v>
      </c>
      <c r="C4" s="9" t="s">
        <v>190</v>
      </c>
    </row>
    <row r="5" customFormat="false" ht="15" hidden="false" customHeight="true" outlineLevel="0" collapsed="false">
      <c r="A5" s="3" t="s">
        <v>191</v>
      </c>
      <c r="B5" s="8" t="n">
        <f aca="false">CORREL(Delta_Analysis!K2:K30,Delta_Analysis!W2:W30)</f>
        <v>0.938590938175962</v>
      </c>
      <c r="C5" s="9" t="s">
        <v>192</v>
      </c>
    </row>
    <row r="6" customFormat="false" ht="15" hidden="false" customHeight="true" outlineLevel="0" collapsed="false">
      <c r="A6" s="3" t="s">
        <v>193</v>
      </c>
      <c r="B6" s="8" t="n">
        <f aca="false">CORREL(Delta_Analysis!L2:L30,Delta_Analysis!X2:X30)</f>
        <v>-0.0667698769784737</v>
      </c>
      <c r="C6" s="9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22"/>
  </cols>
  <sheetData>
    <row r="1" customFormat="false" ht="15" hidden="false" customHeight="true" outlineLevel="0" collapsed="false">
      <c r="A1" s="2" t="s">
        <v>195</v>
      </c>
      <c r="B1" s="2" t="s">
        <v>196</v>
      </c>
      <c r="C1" s="2" t="s">
        <v>197</v>
      </c>
      <c r="D1" s="2" t="s">
        <v>198</v>
      </c>
      <c r="E1" s="2" t="s">
        <v>199</v>
      </c>
      <c r="F1" s="2" t="s">
        <v>200</v>
      </c>
    </row>
    <row r="2" customFormat="false" ht="15" hidden="false" customHeight="true" outlineLevel="0" collapsed="false">
      <c r="A2" s="3" t="s">
        <v>201</v>
      </c>
      <c r="B2" s="3" t="s">
        <v>202</v>
      </c>
      <c r="C2" s="10" t="n">
        <f aca="false">AVERAGE(Text2Image_Base!G2:G30)</f>
        <v>0.12451724137931</v>
      </c>
      <c r="D2" s="10" t="n">
        <f aca="false">SUMPRODUCT(Text2Image_Base!G2:G30,Text2Image_Base!F2:F30)/SUM(Text2Image_Base!F2:F30)</f>
        <v>0.121794937205652</v>
      </c>
      <c r="E2" s="10" t="n">
        <f aca="false">Text2Image_Base!B34</f>
        <v>0.1307</v>
      </c>
      <c r="F2" s="10" t="n">
        <f aca="false">D2-E2</f>
        <v>-0.00890506279434851</v>
      </c>
    </row>
    <row r="3" customFormat="false" ht="15" hidden="false" customHeight="true" outlineLevel="0" collapsed="false">
      <c r="A3" s="3" t="s">
        <v>201</v>
      </c>
      <c r="B3" s="3" t="s">
        <v>203</v>
      </c>
      <c r="C3" s="10" t="n">
        <f aca="false">AVERAGE(Text2Image_Base!H2:H30)</f>
        <v>0.312896551724138</v>
      </c>
      <c r="D3" s="10" t="n">
        <f aca="false">SUMPRODUCT(Text2Image_Base!H2:H30,Text2Image_Base!F2:F30)/SUM(Text2Image_Base!F2:F30)</f>
        <v>0.293174450549451</v>
      </c>
      <c r="E3" s="10" t="n">
        <f aca="false">Text2Image_Base!B35</f>
        <v>0.3112</v>
      </c>
      <c r="F3" s="10" t="n">
        <f aca="false">D3-E3</f>
        <v>-0.0180255494505494</v>
      </c>
    </row>
    <row r="4" customFormat="false" ht="15" hidden="false" customHeight="true" outlineLevel="0" collapsed="false">
      <c r="A4" s="3" t="s">
        <v>201</v>
      </c>
      <c r="B4" s="3" t="s">
        <v>204</v>
      </c>
      <c r="C4" s="10" t="n">
        <f aca="false">AVERAGE(Text2Image_Base!I2:I30)</f>
        <v>0.405965517241379</v>
      </c>
      <c r="D4" s="10" t="n">
        <f aca="false">SUMPRODUCT(Text2Image_Base!I2:I30,Text2Image_Base!F2:F30)/SUM(Text2Image_Base!F2:F30)</f>
        <v>0.381077904238619</v>
      </c>
      <c r="E4" s="10" t="n">
        <f aca="false">Text2Image_Base!B36</f>
        <v>0.4011</v>
      </c>
      <c r="F4" s="10" t="n">
        <f aca="false">D4-E4</f>
        <v>-0.0200220957613815</v>
      </c>
    </row>
    <row r="5" customFormat="false" ht="15" hidden="false" customHeight="true" outlineLevel="0" collapsed="false">
      <c r="A5" s="3" t="s">
        <v>205</v>
      </c>
      <c r="B5" s="3" t="s">
        <v>202</v>
      </c>
      <c r="C5" s="10" t="n">
        <f aca="false">AVERAGE(Text2Image_FT!G2:G30)</f>
        <v>0.160034482758621</v>
      </c>
      <c r="D5" s="10" t="n">
        <f aca="false">SUMPRODUCT(Text2Image_FT!G2:G30,Text2Image_FT!F2:F30)/SUM(Text2Image_FT!F2:F30)</f>
        <v>0.189448390894819</v>
      </c>
      <c r="E5" s="10" t="n">
        <f aca="false">Text2Image_FT!B34</f>
        <v>0.1894</v>
      </c>
      <c r="F5" s="10" t="n">
        <f aca="false">D5-E5</f>
        <v>4.839089481945E-005</v>
      </c>
    </row>
    <row r="6" customFormat="false" ht="15" hidden="false" customHeight="true" outlineLevel="0" collapsed="false">
      <c r="A6" s="3" t="s">
        <v>205</v>
      </c>
      <c r="B6" s="3" t="s">
        <v>203</v>
      </c>
      <c r="C6" s="10" t="n">
        <f aca="false">AVERAGE(Text2Image_FT!H2:H30)</f>
        <v>0.396275862068966</v>
      </c>
      <c r="D6" s="10" t="n">
        <f aca="false">SUMPRODUCT(Text2Image_FT!H2:H30,Text2Image_FT!F2:F30)/SUM(Text2Image_FT!F2:F30)</f>
        <v>0.425916797488226</v>
      </c>
      <c r="E6" s="10" t="n">
        <f aca="false">Text2Image_FT!B35</f>
        <v>0.426</v>
      </c>
      <c r="F6" s="10" t="n">
        <f aca="false">D6-E6</f>
        <v>-8.32025117739055E-005</v>
      </c>
    </row>
    <row r="7" customFormat="false" ht="15" hidden="false" customHeight="true" outlineLevel="0" collapsed="false">
      <c r="A7" s="3" t="s">
        <v>205</v>
      </c>
      <c r="B7" s="3" t="s">
        <v>204</v>
      </c>
      <c r="C7" s="10" t="n">
        <f aca="false">AVERAGE(Text2Image_FT!I2:I30)</f>
        <v>0.527793103448276</v>
      </c>
      <c r="D7" s="10" t="n">
        <f aca="false">SUMPRODUCT(Text2Image_FT!I2:I30,Text2Image_FT!F2:F30)/SUM(Text2Image_FT!F2:F30)</f>
        <v>0.542125</v>
      </c>
      <c r="E7" s="10" t="n">
        <f aca="false">Text2Image_FT!B36</f>
        <v>0.5422</v>
      </c>
      <c r="F7" s="10" t="n">
        <f aca="false">D7-E7</f>
        <v>-7.50000000000473E-005</v>
      </c>
    </row>
    <row r="8" customFormat="false" ht="15" hidden="false" customHeight="true" outlineLevel="0" collapsed="false">
      <c r="A8" s="3" t="s">
        <v>206</v>
      </c>
      <c r="B8" s="3" t="s">
        <v>202</v>
      </c>
      <c r="C8" s="10" t="n">
        <f aca="false">AVERAGE(Image2Text_Base!G2:G30)</f>
        <v>0.111448275862069</v>
      </c>
      <c r="D8" s="10" t="n">
        <f aca="false">SUMPRODUCT(Image2Text_Base!G2:G30,Image2Text_Base!F2:F30)/SUM(Image2Text_Base!F2:F30)</f>
        <v>0.130567896389325</v>
      </c>
      <c r="E8" s="10" t="n">
        <f aca="false">Image2Text_Base!B34</f>
        <v>0.1219</v>
      </c>
      <c r="F8" s="10" t="n">
        <f aca="false">D8-E8</f>
        <v>0.00866789638932498</v>
      </c>
    </row>
    <row r="9" customFormat="false" ht="15" hidden="false" customHeight="true" outlineLevel="0" collapsed="false">
      <c r="A9" s="3" t="s">
        <v>206</v>
      </c>
      <c r="B9" s="3" t="s">
        <v>203</v>
      </c>
      <c r="C9" s="10" t="n">
        <f aca="false">AVERAGE(Image2Text_Base!H2:H30)</f>
        <v>0.282689655172414</v>
      </c>
      <c r="D9" s="10" t="n">
        <f aca="false">SUMPRODUCT(Image2Text_Base!H2:H30,Image2Text_Base!F2:F30)/SUM(Image2Text_Base!F2:F30)</f>
        <v>0.31137931711146</v>
      </c>
      <c r="E9" s="10" t="n">
        <f aca="false">Image2Text_Base!B35</f>
        <v>0.2932</v>
      </c>
      <c r="F9" s="10" t="n">
        <f aca="false">D9-E9</f>
        <v>0.0181793171114599</v>
      </c>
    </row>
    <row r="10" customFormat="false" ht="15" hidden="false" customHeight="true" outlineLevel="0" collapsed="false">
      <c r="A10" s="3" t="s">
        <v>206</v>
      </c>
      <c r="B10" s="3" t="s">
        <v>204</v>
      </c>
      <c r="C10" s="10" t="n">
        <f aca="false">AVERAGE(Image2Text_Base!I2:I30)</f>
        <v>0.378551724137931</v>
      </c>
      <c r="D10" s="10" t="n">
        <f aca="false">SUMPRODUCT(Image2Text_Base!I2:I30,Image2Text_Base!F2:F30)/SUM(Image2Text_Base!F2:F30)</f>
        <v>0.40109262166405</v>
      </c>
      <c r="E10" s="10" t="n">
        <f aca="false">Image2Text_Base!B36</f>
        <v>0.3811</v>
      </c>
      <c r="F10" s="10" t="n">
        <f aca="false">D10-E10</f>
        <v>0.0199926216640502</v>
      </c>
    </row>
    <row r="11" customFormat="false" ht="15" hidden="false" customHeight="true" outlineLevel="0" collapsed="false">
      <c r="A11" s="3" t="s">
        <v>207</v>
      </c>
      <c r="B11" s="3" t="s">
        <v>202</v>
      </c>
      <c r="C11" s="10" t="n">
        <f aca="false">AVERAGE(Image2Text_FT!G2:G30)</f>
        <v>0.15548275862069</v>
      </c>
      <c r="D11" s="10" t="n">
        <f aca="false">SUMPRODUCT(Image2Text_FT!G2:G30,Image2Text_FT!F2:F30)/SUM(Image2Text_FT!F2:F30)</f>
        <v>0.1716034144427</v>
      </c>
      <c r="E11" s="10" t="n">
        <f aca="false">Image2Text_FT!B34</f>
        <v>0.1715</v>
      </c>
      <c r="F11" s="10" t="n">
        <f aca="false">D11-E11</f>
        <v>0.00010341444270015</v>
      </c>
    </row>
    <row r="12" customFormat="false" ht="15" hidden="false" customHeight="true" outlineLevel="0" collapsed="false">
      <c r="A12" s="3" t="s">
        <v>207</v>
      </c>
      <c r="B12" s="3" t="s">
        <v>203</v>
      </c>
      <c r="C12" s="10" t="n">
        <f aca="false">AVERAGE(Image2Text_FT!H2:H30)</f>
        <v>0.39351724137931</v>
      </c>
      <c r="D12" s="10" t="n">
        <f aca="false">SUMPRODUCT(Image2Text_FT!H2:H30,Image2Text_FT!F2:F30)/SUM(Image2Text_FT!F2:F30)</f>
        <v>0.41319819466248</v>
      </c>
      <c r="E12" s="10" t="n">
        <f aca="false">Image2Text_FT!B35</f>
        <v>0.4131</v>
      </c>
      <c r="F12" s="10" t="n">
        <f aca="false">D12-E12</f>
        <v>9.81946624803443E-005</v>
      </c>
    </row>
    <row r="13" customFormat="false" ht="15" hidden="false" customHeight="true" outlineLevel="0" collapsed="false">
      <c r="A13" s="3" t="s">
        <v>207</v>
      </c>
      <c r="B13" s="3" t="s">
        <v>204</v>
      </c>
      <c r="C13" s="10" t="n">
        <f aca="false">AVERAGE(Image2Text_FT!I2:I30)</f>
        <v>0.507965517241379</v>
      </c>
      <c r="D13" s="10" t="n">
        <f aca="false">SUMPRODUCT(Image2Text_FT!I2:I30,Image2Text_FT!F2:F30)/SUM(Image2Text_FT!F2:F30)</f>
        <v>0.523597723704867</v>
      </c>
      <c r="E13" s="10" t="n">
        <f aca="false">Image2Text_FT!B36</f>
        <v>0.5235</v>
      </c>
      <c r="F13" s="10" t="n">
        <f aca="false">D13-E13</f>
        <v>9.77237048666035E-005</v>
      </c>
    </row>
    <row r="18" customFormat="false" ht="94.5" hidden="false" customHeight="true" outlineLevel="0" collapsed="false">
      <c r="A18" s="11" t="s">
        <v>208</v>
      </c>
      <c r="B18" s="11"/>
      <c r="C18" s="11"/>
      <c r="D18" s="11"/>
      <c r="E18" s="11"/>
      <c r="F18" s="11"/>
    </row>
  </sheetData>
  <mergeCells count="1"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2026-09-21T17:21:37Z</dcterms:created>
  <dc:creator>NIRMAL PATEL</dc:creator>
  <dc:description/>
  <dc:language>en-US</dc:language>
  <cp:lastModifiedBy>NIRMAL PATEL</cp:lastModifiedBy>
  <dcterms:modified xsi:type="dcterms:W3CDTF">2026-09-22T05:11:44Z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